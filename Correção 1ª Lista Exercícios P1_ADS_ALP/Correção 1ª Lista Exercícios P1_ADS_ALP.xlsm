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romulo\Desktop\Correção Exercício INTIN\"/>
    </mc:Choice>
  </mc:AlternateContent>
  <bookViews>
    <workbookView xWindow="0" yWindow="0" windowWidth="24000" windowHeight="9735"/>
  </bookViews>
  <sheets>
    <sheet name="Exercício_P1_ADS -&gt;Dia 17" sheetId="4" r:id="rId1"/>
    <sheet name="Exercício_P1_ADS -&gt;Dia 18" sheetId="7" r:id="rId2"/>
    <sheet name="Exercício_P1_ADS -&gt;Dia 19" sheetId="8" r:id="rId3"/>
    <sheet name="Exercício_P1_ADS -&gt;Dia 20" sheetId="9" r:id="rId4"/>
    <sheet name="Exercício_P1_ADS -&gt;Dia 21" sheetId="10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0" l="1"/>
  <c r="H54" i="10"/>
  <c r="H15" i="10"/>
  <c r="H33" i="10"/>
  <c r="H60" i="10"/>
  <c r="H6" i="9"/>
  <c r="H54" i="9"/>
  <c r="H45" i="9"/>
  <c r="H12" i="9"/>
  <c r="H60" i="9"/>
  <c r="H6" i="8"/>
  <c r="H54" i="8"/>
  <c r="H27" i="8"/>
  <c r="H33" i="8"/>
  <c r="H48" i="8"/>
  <c r="H6" i="7"/>
  <c r="H54" i="7"/>
  <c r="H33" i="7"/>
  <c r="H12" i="7"/>
  <c r="H60" i="7"/>
  <c r="H57" i="4"/>
  <c r="H48" i="4"/>
  <c r="H42" i="4"/>
  <c r="H39" i="4"/>
  <c r="H18" i="4"/>
  <c r="H48" i="10"/>
  <c r="H24" i="10"/>
  <c r="H42" i="9"/>
  <c r="H3" i="9"/>
  <c r="H21" i="8"/>
  <c r="H42" i="7"/>
  <c r="H48" i="7"/>
  <c r="H33" i="4"/>
  <c r="H3" i="4"/>
  <c r="H18" i="10"/>
  <c r="H12" i="10"/>
  <c r="H39" i="10"/>
  <c r="H45" i="10"/>
  <c r="H27" i="10"/>
  <c r="H18" i="9"/>
  <c r="H9" i="9"/>
  <c r="H57" i="9"/>
  <c r="H24" i="9"/>
  <c r="H15" i="9"/>
  <c r="H18" i="8"/>
  <c r="H12" i="8"/>
  <c r="H51" i="8"/>
  <c r="H45" i="8"/>
  <c r="H15" i="8"/>
  <c r="H18" i="7"/>
  <c r="H39" i="7"/>
  <c r="H45" i="7"/>
  <c r="H24" i="7"/>
  <c r="H15" i="7"/>
  <c r="H60" i="4"/>
  <c r="H51" i="4"/>
  <c r="H24" i="4"/>
  <c r="H30" i="4"/>
  <c r="H6" i="4"/>
  <c r="H21" i="10"/>
  <c r="H39" i="9"/>
  <c r="H42" i="8"/>
  <c r="H24" i="8"/>
  <c r="H21" i="7"/>
  <c r="H54" i="4"/>
  <c r="H15" i="4"/>
  <c r="H30" i="10"/>
  <c r="H36" i="10"/>
  <c r="H9" i="10"/>
  <c r="H57" i="10"/>
  <c r="H51" i="10"/>
  <c r="H30" i="9"/>
  <c r="H21" i="9"/>
  <c r="H27" i="9"/>
  <c r="H36" i="9"/>
  <c r="H51" i="9"/>
  <c r="H30" i="8"/>
  <c r="H36" i="8"/>
  <c r="H9" i="8"/>
  <c r="H57" i="8"/>
  <c r="H39" i="8"/>
  <c r="H30" i="7"/>
  <c r="H9" i="7"/>
  <c r="H57" i="7"/>
  <c r="H36" i="7"/>
  <c r="H51" i="7"/>
  <c r="H45" i="4"/>
  <c r="H21" i="4"/>
  <c r="H36" i="4"/>
  <c r="H12" i="4"/>
  <c r="H9" i="4"/>
  <c r="H42" i="10"/>
  <c r="H3" i="10"/>
  <c r="H33" i="9"/>
  <c r="H48" i="9"/>
  <c r="H60" i="8"/>
  <c r="H3" i="8"/>
  <c r="H27" i="7"/>
  <c r="H3" i="7"/>
  <c r="H27" i="4"/>
</calcChain>
</file>

<file path=xl/sharedStrings.xml><?xml version="1.0" encoding="utf-8"?>
<sst xmlns="http://schemas.openxmlformats.org/spreadsheetml/2006/main" count="740" uniqueCount="34">
  <si>
    <t>Aluno</t>
  </si>
  <si>
    <t>1ª</t>
  </si>
  <si>
    <t>2ª</t>
  </si>
  <si>
    <t>3ª</t>
  </si>
  <si>
    <t>4ª</t>
  </si>
  <si>
    <t>5ª</t>
  </si>
  <si>
    <t>Nota</t>
  </si>
  <si>
    <t>Acertos</t>
  </si>
  <si>
    <t>Nº</t>
  </si>
  <si>
    <t>Questões</t>
  </si>
  <si>
    <t>1º</t>
  </si>
  <si>
    <t>2º</t>
  </si>
  <si>
    <t xml:space="preserve">Legenda </t>
  </si>
  <si>
    <t>3º</t>
  </si>
  <si>
    <t>4º</t>
  </si>
  <si>
    <t>5º</t>
  </si>
  <si>
    <t>6º</t>
  </si>
  <si>
    <t>Erros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</si>
  <si>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</si>
  <si>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</si>
  <si>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</si>
  <si>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</si>
  <si>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</si>
  <si>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</si>
  <si>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</si>
  <si>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</si>
  <si>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</si>
  <si>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</si>
  <si>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</si>
  <si>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</si>
  <si>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</si>
  <si>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</si>
  <si>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/>
  </si>
  <si>
    <t>Correção Lista Exercício P1_ADS_ALP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</si>
</sst>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0C225"/>
        <bgColor indexed="64"/>
      </patternFill>
    </fill>
    <fill>
      <patternFill patternType="solid">
        <fgColor rgb="FFFF21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6795556505021"/>
      </top>
      <bottom/>
      <diagonal/>
    </border>
    <border>
      <left/>
      <right style="thin">
        <color theme="0" tint="-0.14999847407452621"/>
      </right>
      <top/>
      <bottom style="thin">
        <color theme="0" tint="-0.149967955565050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3" borderId="3" xfId="0" applyFont="1" applyFill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16" fontId="3" fillId="2" borderId="3" xfId="0" applyNumberFormat="1" applyFont="1" applyFill="1" applyBorder="1" applyAlignment="1">
      <alignment horizontal="right" vertical="center" textRotation="180"/>
    </xf>
    <xf numFmtId="0" fontId="1" fillId="0" borderId="0" xfId="0" applyFont="1" applyAlignment="1">
      <alignment horizontal="center" vertical="center"/>
    </xf>
    <xf numFmtId="0" fontId="0" fillId="3" borderId="7" xfId="0" applyFill="1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4" xfId="0" applyBorder="1"/>
    <xf numFmtId="0" fontId="0" fillId="3" borderId="11" xfId="0" applyFill="1" applyBorder="1"/>
    <xf numFmtId="0" fontId="0" fillId="3" borderId="12" xfId="0" applyFill="1" applyBorder="1"/>
    <xf numFmtId="0" fontId="0" fillId="3" borderId="1" xfId="0" applyFill="1" applyBorder="1"/>
    <xf numFmtId="0" fontId="0" fillId="3" borderId="13" xfId="0" applyFill="1" applyBorder="1"/>
    <xf numFmtId="0" fontId="0" fillId="3" borderId="14" xfId="0" applyFill="1" applyBorder="1"/>
    <xf numFmtId="0" fontId="0" fillId="0" borderId="6" xfId="0" applyBorder="1"/>
    <xf numFmtId="0" fontId="0" fillId="3" borderId="13" xfId="0" quotePrefix="1" applyFill="1" applyBorder="1"/>
    <xf numFmtId="16" fontId="3" fillId="2" borderId="3" xfId="0" applyNumberFormat="1" applyFont="1" applyFill="1" applyBorder="1" applyAlignment="1">
      <alignment horizontal="center" vertical="center" textRotation="180"/>
    </xf>
    <xf numFmtId="0" fontId="1" fillId="0" borderId="0" xfId="0" applyFont="1" applyAlignment="1" applyProtection="1">
      <alignment horizontal="center" vertical="center"/>
    </xf>
    <xf numFmtId="0" fontId="0" fillId="0" borderId="6" xfId="0" applyBorder="1" applyProtection="1"/>
    <xf numFmtId="16" fontId="3" fillId="2" borderId="3" xfId="0" applyNumberFormat="1" applyFont="1" applyFill="1" applyBorder="1" applyAlignment="1" applyProtection="1">
      <alignment horizontal="center" vertical="center" textRotation="180"/>
    </xf>
    <xf numFmtId="0" fontId="1" fillId="0" borderId="3" xfId="0" applyFont="1" applyBorder="1" applyAlignment="1" applyProtection="1">
      <alignment horizontal="center" vertical="center"/>
    </xf>
    <xf numFmtId="0" fontId="0" fillId="4" borderId="1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6" borderId="6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0" fillId="2" borderId="5" xfId="0" applyFont="1" applyFill="1" applyBorder="1" applyAlignment="1" applyProtection="1">
      <alignment horizontal="center" vertical="center" textRotation="90"/>
      <protection locked="0"/>
    </xf>
    <xf numFmtId="0" fontId="0" fillId="2" borderId="0" xfId="0" applyFont="1" applyFill="1" applyBorder="1" applyAlignment="1" applyProtection="1">
      <alignment horizontal="center" vertical="center" textRotation="90"/>
      <protection locked="0"/>
    </xf>
    <xf numFmtId="0" fontId="0" fillId="2" borderId="10" xfId="0" applyFont="1" applyFill="1" applyBorder="1" applyAlignment="1" applyProtection="1">
      <alignment horizontal="center" vertical="center" textRotation="90"/>
      <protection locked="0"/>
    </xf>
    <xf numFmtId="0" fontId="1" fillId="0" borderId="0" xfId="0" applyFont="1" applyAlignment="1" applyProtection="1">
      <alignment horizontal="center" vertical="center"/>
    </xf>
    <xf numFmtId="0" fontId="0" fillId="6" borderId="6" xfId="0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vertical="center"/>
    </xf>
    <xf numFmtId="164" fontId="0" fillId="0" borderId="3" xfId="0" applyNumberFormat="1" applyBorder="1" applyAlignment="1" applyProtection="1">
      <alignment horizontal="center" vertical="center"/>
    </xf>
    <xf numFmtId="164" fontId="0" fillId="0" borderId="4" xfId="0" applyNumberFormat="1" applyBorder="1" applyAlignment="1" applyProtection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0">
    <dxf>
      <font>
        <b/>
        <i val="0"/>
        <color rgb="FF10C225"/>
      </font>
      <numFmt numFmtId="164" formatCode="0.0"/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color rgb="FFFF212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color rgb="FF10C225"/>
      </font>
      <numFmt numFmtId="164" formatCode="0.0"/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color rgb="FFFF212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color rgb="FF10C225"/>
      </font>
      <numFmt numFmtId="164" formatCode="0.0"/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color rgb="FFFF212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color rgb="FF10C225"/>
      </font>
      <numFmt numFmtId="164" formatCode="0.0"/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color rgb="FFFF212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color rgb="FF10C225"/>
      </font>
      <numFmt numFmtId="164" formatCode="0.0"/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color rgb="FFFF212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FF2121"/>
      <color rgb="FF10C225"/>
      <color rgb="FFFF0909"/>
      <color rgb="FFFF3737"/>
      <color rgb="FF11C526"/>
      <color rgb="FF12D82A"/>
      <color rgb="FF13DF2B"/>
      <color rgb="FF20EC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N315"/>
  <sheetViews>
    <sheetView tabSelected="1" workbookViewId="0">
      <selection activeCell="E28" sqref="E28"/>
    </sheetView>
  </sheetViews>
  <sheetFormatPr defaultRowHeight="15" x14ac:dyDescent="0.25"/>
  <cols>
    <col min="1" max="1" width="2.85546875" customWidth="1"/>
    <col min="2" max="2" width="32.7109375" customWidth="1"/>
    <col min="3" max="7" width="2.85546875" customWidth="1"/>
    <col min="8" max="8" width="7.140625" customWidth="1"/>
    <col min="9" max="10" width="9.140625" customWidth="1"/>
    <col min="11" max="12" width="9" customWidth="1"/>
  </cols>
  <sheetData>
    <row r="1" spans="1:14" ht="34.5" customHeight="1" x14ac:dyDescent="0.25">
      <c r="A1" s="20">
        <v>42783</v>
      </c>
      <c r="B1" s="31" t="s">
        <v>33</v>
      </c>
      <c r="C1" s="32"/>
      <c r="D1" s="32"/>
      <c r="E1" s="32"/>
      <c r="F1" s="32"/>
      <c r="G1" s="32"/>
      <c r="H1" s="33"/>
      <c r="N1" s="6"/>
    </row>
    <row r="2" spans="1:14" x14ac:dyDescent="0.25">
      <c r="A2" s="18" t="s">
        <v>8</v>
      </c>
      <c r="B2" s="18" t="s">
        <v>0</v>
      </c>
      <c r="C2" s="37" t="s">
        <v>9</v>
      </c>
      <c r="D2" s="37"/>
      <c r="E2" s="37"/>
      <c r="F2" s="37"/>
      <c r="G2" s="37"/>
      <c r="H2" s="21" t="s">
        <v>6</v>
      </c>
      <c r="N2" s="7"/>
    </row>
    <row r="3" spans="1:14" x14ac:dyDescent="0.25">
      <c r="A3" s="38" t="s">
        <v>10</v>
      </c>
      <c r="B3" s="27"/>
      <c r="C3" s="19" t="s">
        <v>1</v>
      </c>
      <c r="D3" s="19" t="s">
        <v>2</v>
      </c>
      <c r="E3" s="19" t="s">
        <v>3</v>
      </c>
      <c r="F3" s="19" t="s">
        <v>4</v>
      </c>
      <c r="G3" s="19" t="s">
        <v>5</v>
      </c>
      <c r="H3" s="40">
        <f ca="1">SomarCores(G$64,C4:G4)</f>
        <v>10</v>
      </c>
      <c r="N3" s="7"/>
    </row>
    <row r="4" spans="1:14" ht="15" customHeight="1" x14ac:dyDescent="0.25">
      <c r="A4" s="39"/>
      <c r="B4" s="28"/>
      <c r="C4" s="22"/>
      <c r="D4" s="22"/>
      <c r="E4" s="22"/>
      <c r="F4" s="22"/>
      <c r="G4" s="22"/>
      <c r="H4" s="41"/>
      <c r="N4" s="7"/>
    </row>
    <row r="5" spans="1:14" ht="15" customHeight="1" x14ac:dyDescent="0.25">
      <c r="A5" s="16" t="s">
        <v>32</v>
      </c>
      <c r="B5" s="13"/>
      <c r="C5" s="13"/>
      <c r="D5" s="13"/>
      <c r="E5" s="13"/>
      <c r="F5" s="13"/>
      <c r="G5" s="13"/>
      <c r="H5" s="14"/>
      <c r="N5" s="7"/>
    </row>
    <row r="6" spans="1:14" x14ac:dyDescent="0.25">
      <c r="A6" s="25" t="s">
        <v>11</v>
      </c>
      <c r="B6" s="27"/>
      <c r="C6" s="15" t="s">
        <v>1</v>
      </c>
      <c r="D6" s="15" t="s">
        <v>2</v>
      </c>
      <c r="E6" s="15" t="s">
        <v>3</v>
      </c>
      <c r="F6" s="15" t="s">
        <v>4</v>
      </c>
      <c r="G6" s="15" t="s">
        <v>5</v>
      </c>
      <c r="H6" s="29">
        <f t="shared" ref="H6" ca="1" si="0">SomarCores(G$64,C7:G7)</f>
        <v>10</v>
      </c>
      <c r="N6" s="7"/>
    </row>
    <row r="7" spans="1:14" x14ac:dyDescent="0.25">
      <c r="A7" s="26"/>
      <c r="B7" s="28"/>
      <c r="C7" s="22"/>
      <c r="D7" s="22"/>
      <c r="E7" s="22"/>
      <c r="F7" s="22"/>
      <c r="G7" s="22"/>
      <c r="H7" s="30"/>
      <c r="N7" s="7"/>
    </row>
    <row r="8" spans="1:14" x14ac:dyDescent="0.25">
      <c r="A8" s="16" t="s">
        <v>32</v>
      </c>
      <c r="B8" s="13"/>
      <c r="C8" s="13"/>
      <c r="D8" s="13"/>
      <c r="E8" s="13"/>
      <c r="F8" s="13"/>
      <c r="G8" s="13"/>
      <c r="H8" s="14"/>
      <c r="N8" s="7"/>
    </row>
    <row r="9" spans="1:14" x14ac:dyDescent="0.25">
      <c r="A9" s="25" t="s">
        <v>13</v>
      </c>
      <c r="B9" s="27"/>
      <c r="C9" s="15" t="s">
        <v>1</v>
      </c>
      <c r="D9" s="15" t="s">
        <v>2</v>
      </c>
      <c r="E9" s="15" t="s">
        <v>3</v>
      </c>
      <c r="F9" s="15" t="s">
        <v>4</v>
      </c>
      <c r="G9" s="15" t="s">
        <v>5</v>
      </c>
      <c r="H9" s="29">
        <f t="shared" ref="H9" ca="1" si="1">SomarCores(G$64,C10:G10)</f>
        <v>10</v>
      </c>
      <c r="N9" s="7"/>
    </row>
    <row r="10" spans="1:14" ht="15" customHeight="1" x14ac:dyDescent="0.25">
      <c r="A10" s="26"/>
      <c r="B10" s="28"/>
      <c r="C10" s="22"/>
      <c r="D10" s="22"/>
      <c r="E10" s="22"/>
      <c r="F10" s="22"/>
      <c r="G10" s="22"/>
      <c r="H10" s="30"/>
      <c r="N10" s="7"/>
    </row>
    <row r="11" spans="1:14" x14ac:dyDescent="0.25">
      <c r="A11" s="16" t="s">
        <v>32</v>
      </c>
      <c r="B11" s="13"/>
      <c r="C11" s="13"/>
      <c r="D11" s="13"/>
      <c r="E11" s="13"/>
      <c r="F11" s="13"/>
      <c r="G11" s="13"/>
      <c r="H11" s="14"/>
      <c r="N11" s="7"/>
    </row>
    <row r="12" spans="1:14" x14ac:dyDescent="0.25">
      <c r="A12" s="25" t="s">
        <v>14</v>
      </c>
      <c r="B12" s="27"/>
      <c r="C12" s="15" t="s">
        <v>1</v>
      </c>
      <c r="D12" s="15" t="s">
        <v>2</v>
      </c>
      <c r="E12" s="15" t="s">
        <v>3</v>
      </c>
      <c r="F12" s="15" t="s">
        <v>4</v>
      </c>
      <c r="G12" s="15" t="s">
        <v>5</v>
      </c>
      <c r="H12" s="29">
        <f t="shared" ref="H12" ca="1" si="2">SomarCores(G$64,C13:G13)</f>
        <v>10</v>
      </c>
      <c r="N12" s="8"/>
    </row>
    <row r="13" spans="1:14" x14ac:dyDescent="0.25">
      <c r="A13" s="26"/>
      <c r="B13" s="28"/>
      <c r="C13" s="22"/>
      <c r="D13" s="22"/>
      <c r="E13" s="22"/>
      <c r="F13" s="22"/>
      <c r="G13" s="22"/>
      <c r="H13" s="30"/>
      <c r="N13" s="8"/>
    </row>
    <row r="14" spans="1:14" x14ac:dyDescent="0.25">
      <c r="A14" s="16" t="s">
        <v>32</v>
      </c>
      <c r="B14" s="13"/>
      <c r="C14" s="13"/>
      <c r="D14" s="13"/>
      <c r="E14" s="13"/>
      <c r="F14" s="13"/>
      <c r="G14" s="13"/>
      <c r="H14" s="14"/>
      <c r="N14" s="9"/>
    </row>
    <row r="15" spans="1:14" x14ac:dyDescent="0.25">
      <c r="A15" s="25" t="s">
        <v>15</v>
      </c>
      <c r="B15" s="27"/>
      <c r="C15" s="15" t="s">
        <v>1</v>
      </c>
      <c r="D15" s="15" t="s">
        <v>2</v>
      </c>
      <c r="E15" s="15" t="s">
        <v>3</v>
      </c>
      <c r="F15" s="15" t="s">
        <v>4</v>
      </c>
      <c r="G15" s="15" t="s">
        <v>5</v>
      </c>
      <c r="H15" s="29">
        <f t="shared" ref="H15" ca="1" si="3">SomarCores(G$64,C16:G16)</f>
        <v>10</v>
      </c>
    </row>
    <row r="16" spans="1:14" x14ac:dyDescent="0.25">
      <c r="A16" s="26"/>
      <c r="B16" s="28"/>
      <c r="C16" s="22"/>
      <c r="D16" s="22"/>
      <c r="E16" s="22"/>
      <c r="F16" s="22"/>
      <c r="G16" s="22"/>
      <c r="H16" s="30"/>
    </row>
    <row r="17" spans="1:12" x14ac:dyDescent="0.25">
      <c r="A17" s="16" t="s">
        <v>32</v>
      </c>
      <c r="B17" s="13"/>
      <c r="C17" s="13"/>
      <c r="D17" s="13"/>
      <c r="E17" s="13"/>
      <c r="F17" s="13"/>
      <c r="G17" s="13"/>
      <c r="H17" s="14"/>
    </row>
    <row r="18" spans="1:12" x14ac:dyDescent="0.25">
      <c r="A18" s="25" t="s">
        <v>16</v>
      </c>
      <c r="B18" s="27"/>
      <c r="C18" s="15" t="s">
        <v>1</v>
      </c>
      <c r="D18" s="15" t="s">
        <v>2</v>
      </c>
      <c r="E18" s="15" t="s">
        <v>3</v>
      </c>
      <c r="F18" s="15" t="s">
        <v>4</v>
      </c>
      <c r="G18" s="15" t="s">
        <v>5</v>
      </c>
      <c r="H18" s="29">
        <f t="shared" ref="H18" ca="1" si="4">SomarCores(G$64,C19:G19)</f>
        <v>10</v>
      </c>
    </row>
    <row r="19" spans="1:12" x14ac:dyDescent="0.25">
      <c r="A19" s="26"/>
      <c r="B19" s="28"/>
      <c r="C19" s="22"/>
      <c r="D19" s="22"/>
      <c r="E19" s="22"/>
      <c r="F19" s="22"/>
      <c r="G19" s="22"/>
      <c r="H19" s="30"/>
    </row>
    <row r="20" spans="1:12" x14ac:dyDescent="0.25">
      <c r="A20" s="16" t="s">
        <v>32</v>
      </c>
      <c r="B20" s="13"/>
      <c r="C20" s="13"/>
      <c r="D20" s="13"/>
      <c r="E20" s="13"/>
      <c r="F20" s="13"/>
      <c r="G20" s="13"/>
      <c r="H20" s="14"/>
    </row>
    <row r="21" spans="1:12" x14ac:dyDescent="0.25">
      <c r="A21" s="25" t="s">
        <v>18</v>
      </c>
      <c r="B21" s="27"/>
      <c r="C21" s="15" t="s">
        <v>1</v>
      </c>
      <c r="D21" s="15" t="s">
        <v>2</v>
      </c>
      <c r="E21" s="15" t="s">
        <v>3</v>
      </c>
      <c r="F21" s="15" t="s">
        <v>4</v>
      </c>
      <c r="G21" s="15" t="s">
        <v>5</v>
      </c>
      <c r="H21" s="29">
        <f t="shared" ref="H21" ca="1" si="5">SomarCores(G$64,C22:G22)</f>
        <v>10</v>
      </c>
    </row>
    <row r="22" spans="1:12" x14ac:dyDescent="0.25">
      <c r="A22" s="26"/>
      <c r="B22" s="28"/>
      <c r="C22" s="22"/>
      <c r="D22" s="22"/>
      <c r="E22" s="22"/>
      <c r="F22" s="22"/>
      <c r="G22" s="22"/>
      <c r="H22" s="30"/>
    </row>
    <row r="23" spans="1:12" x14ac:dyDescent="0.25">
      <c r="A23" s="16" t="s">
        <v>32</v>
      </c>
      <c r="B23" s="13"/>
      <c r="C23" s="13"/>
      <c r="D23" s="13"/>
      <c r="E23" s="13"/>
      <c r="F23" s="13"/>
      <c r="G23" s="13"/>
      <c r="H23" s="14"/>
    </row>
    <row r="24" spans="1:12" x14ac:dyDescent="0.25">
      <c r="A24" s="25" t="s">
        <v>19</v>
      </c>
      <c r="B24" s="27"/>
      <c r="C24" s="15" t="s">
        <v>1</v>
      </c>
      <c r="D24" s="15" t="s">
        <v>2</v>
      </c>
      <c r="E24" s="15" t="s">
        <v>3</v>
      </c>
      <c r="F24" s="15" t="s">
        <v>4</v>
      </c>
      <c r="G24" s="15" t="s">
        <v>5</v>
      </c>
      <c r="H24" s="29">
        <f t="shared" ref="H24" ca="1" si="6">SomarCores(G$64,C25:G25)</f>
        <v>10</v>
      </c>
    </row>
    <row r="25" spans="1:12" x14ac:dyDescent="0.25">
      <c r="A25" s="26"/>
      <c r="B25" s="28"/>
      <c r="C25" s="22"/>
      <c r="D25" s="22"/>
      <c r="E25" s="22"/>
      <c r="F25" s="22"/>
      <c r="G25" s="22"/>
      <c r="H25" s="30"/>
      <c r="L25" s="8"/>
    </row>
    <row r="26" spans="1:12" x14ac:dyDescent="0.25">
      <c r="A26" s="16" t="s">
        <v>32</v>
      </c>
      <c r="B26" s="13"/>
      <c r="C26" s="13"/>
      <c r="D26" s="13"/>
      <c r="E26" s="13"/>
      <c r="F26" s="13"/>
      <c r="G26" s="13"/>
      <c r="H26" s="14"/>
      <c r="L26" s="8"/>
    </row>
    <row r="27" spans="1:12" x14ac:dyDescent="0.25">
      <c r="A27" s="25" t="s">
        <v>20</v>
      </c>
      <c r="B27" s="27"/>
      <c r="C27" s="15" t="s">
        <v>1</v>
      </c>
      <c r="D27" s="15" t="s">
        <v>2</v>
      </c>
      <c r="E27" s="15" t="s">
        <v>3</v>
      </c>
      <c r="F27" s="15" t="s">
        <v>4</v>
      </c>
      <c r="G27" s="15" t="s">
        <v>5</v>
      </c>
      <c r="H27" s="29">
        <f t="shared" ref="H27" ca="1" si="7">SomarCores(G$64,C28:G28)</f>
        <v>10</v>
      </c>
      <c r="L27" s="8"/>
    </row>
    <row r="28" spans="1:12" x14ac:dyDescent="0.25">
      <c r="A28" s="26"/>
      <c r="B28" s="28"/>
      <c r="C28" s="22"/>
      <c r="D28" s="22"/>
      <c r="E28" s="22"/>
      <c r="F28" s="22"/>
      <c r="G28" s="22"/>
      <c r="H28" s="30"/>
      <c r="L28" s="8"/>
    </row>
    <row r="29" spans="1:12" x14ac:dyDescent="0.25">
      <c r="A29" s="16" t="s">
        <v>32</v>
      </c>
      <c r="B29" s="13"/>
      <c r="C29" s="13"/>
      <c r="D29" s="13"/>
      <c r="E29" s="13"/>
      <c r="F29" s="13"/>
      <c r="G29" s="13"/>
      <c r="H29" s="14"/>
      <c r="L29" s="8"/>
    </row>
    <row r="30" spans="1:12" x14ac:dyDescent="0.25">
      <c r="A30" s="25" t="s">
        <v>21</v>
      </c>
      <c r="B30" s="27"/>
      <c r="C30" s="15" t="s">
        <v>1</v>
      </c>
      <c r="D30" s="15" t="s">
        <v>2</v>
      </c>
      <c r="E30" s="15" t="s">
        <v>3</v>
      </c>
      <c r="F30" s="15" t="s">
        <v>4</v>
      </c>
      <c r="G30" s="15" t="s">
        <v>5</v>
      </c>
      <c r="H30" s="29">
        <f t="shared" ref="H30" ca="1" si="8">SomarCores(G$64,C31:G31)</f>
        <v>10</v>
      </c>
      <c r="L30" s="8"/>
    </row>
    <row r="31" spans="1:12" x14ac:dyDescent="0.25">
      <c r="A31" s="26"/>
      <c r="B31" s="28"/>
      <c r="C31" s="22"/>
      <c r="D31" s="22"/>
      <c r="E31" s="22"/>
      <c r="F31" s="22"/>
      <c r="G31" s="22"/>
      <c r="H31" s="30"/>
      <c r="L31" s="8"/>
    </row>
    <row r="32" spans="1:12" x14ac:dyDescent="0.25">
      <c r="A32" s="16" t="s">
        <v>32</v>
      </c>
      <c r="B32" s="13"/>
      <c r="C32" s="13"/>
      <c r="D32" s="13"/>
      <c r="E32" s="13"/>
      <c r="F32" s="13"/>
      <c r="G32" s="13"/>
      <c r="H32" s="14"/>
      <c r="L32" s="8"/>
    </row>
    <row r="33" spans="1:13" x14ac:dyDescent="0.25">
      <c r="A33" s="25" t="s">
        <v>22</v>
      </c>
      <c r="B33" s="27"/>
      <c r="C33" s="15" t="s">
        <v>1</v>
      </c>
      <c r="D33" s="15" t="s">
        <v>2</v>
      </c>
      <c r="E33" s="15" t="s">
        <v>3</v>
      </c>
      <c r="F33" s="15" t="s">
        <v>4</v>
      </c>
      <c r="G33" s="15" t="s">
        <v>5</v>
      </c>
      <c r="H33" s="29">
        <f t="shared" ref="H33" ca="1" si="9">SomarCores(G$64,C34:G34)</f>
        <v>10</v>
      </c>
      <c r="L33" s="8"/>
    </row>
    <row r="34" spans="1:13" x14ac:dyDescent="0.25">
      <c r="A34" s="26"/>
      <c r="B34" s="28"/>
      <c r="C34" s="22"/>
      <c r="D34" s="22"/>
      <c r="E34" s="22"/>
      <c r="F34" s="22"/>
      <c r="G34" s="22"/>
      <c r="H34" s="30"/>
      <c r="L34" s="8"/>
    </row>
    <row r="35" spans="1:13" x14ac:dyDescent="0.25">
      <c r="A35" s="16" t="s">
        <v>32</v>
      </c>
      <c r="B35" s="13"/>
      <c r="C35" s="13"/>
      <c r="D35" s="13"/>
      <c r="E35" s="13"/>
      <c r="F35" s="13"/>
      <c r="G35" s="13"/>
      <c r="H35" s="14"/>
      <c r="L35" s="8"/>
    </row>
    <row r="36" spans="1:13" x14ac:dyDescent="0.25">
      <c r="A36" s="25" t="s">
        <v>23</v>
      </c>
      <c r="B36" s="27"/>
      <c r="C36" s="15" t="s">
        <v>1</v>
      </c>
      <c r="D36" s="15" t="s">
        <v>2</v>
      </c>
      <c r="E36" s="15" t="s">
        <v>3</v>
      </c>
      <c r="F36" s="15" t="s">
        <v>4</v>
      </c>
      <c r="G36" s="15" t="s">
        <v>5</v>
      </c>
      <c r="H36" s="29">
        <f t="shared" ref="H36" ca="1" si="10">SomarCores(G$64,C37:G37)</f>
        <v>10</v>
      </c>
      <c r="L36" s="8"/>
    </row>
    <row r="37" spans="1:13" x14ac:dyDescent="0.25">
      <c r="A37" s="26"/>
      <c r="B37" s="28"/>
      <c r="C37" s="22"/>
      <c r="D37" s="22"/>
      <c r="E37" s="22"/>
      <c r="F37" s="22"/>
      <c r="G37" s="22"/>
      <c r="H37" s="30"/>
      <c r="L37" s="8"/>
    </row>
    <row r="38" spans="1:13" x14ac:dyDescent="0.25">
      <c r="A38" s="16" t="s">
        <v>32</v>
      </c>
      <c r="B38" s="13"/>
      <c r="C38" s="13"/>
      <c r="D38" s="13"/>
      <c r="E38" s="13"/>
      <c r="F38" s="13"/>
      <c r="G38" s="13"/>
      <c r="H38" s="14"/>
      <c r="L38" s="8"/>
    </row>
    <row r="39" spans="1:13" x14ac:dyDescent="0.25">
      <c r="A39" s="25" t="s">
        <v>24</v>
      </c>
      <c r="B39" s="27"/>
      <c r="C39" s="15" t="s">
        <v>1</v>
      </c>
      <c r="D39" s="15" t="s">
        <v>2</v>
      </c>
      <c r="E39" s="15" t="s">
        <v>3</v>
      </c>
      <c r="F39" s="15" t="s">
        <v>4</v>
      </c>
      <c r="G39" s="15" t="s">
        <v>5</v>
      </c>
      <c r="H39" s="29">
        <f t="shared" ref="H39" ca="1" si="11">SomarCores(G$64,C40:G40)</f>
        <v>10</v>
      </c>
      <c r="L39" s="8"/>
    </row>
    <row r="40" spans="1:13" x14ac:dyDescent="0.25">
      <c r="A40" s="26"/>
      <c r="B40" s="28"/>
      <c r="C40" s="22"/>
      <c r="D40" s="22"/>
      <c r="E40" s="22"/>
      <c r="F40" s="22"/>
      <c r="G40" s="22"/>
      <c r="H40" s="30"/>
      <c r="L40" s="8"/>
    </row>
    <row r="41" spans="1:13" x14ac:dyDescent="0.25">
      <c r="A41" s="16" t="s">
        <v>32</v>
      </c>
      <c r="B41" s="13"/>
      <c r="C41" s="13"/>
      <c r="D41" s="13"/>
      <c r="E41" s="13"/>
      <c r="F41" s="13"/>
      <c r="G41" s="13"/>
      <c r="H41" s="14"/>
      <c r="L41" s="8"/>
    </row>
    <row r="42" spans="1:13" x14ac:dyDescent="0.25">
      <c r="A42" s="25" t="s">
        <v>25</v>
      </c>
      <c r="B42" s="27"/>
      <c r="C42" s="15" t="s">
        <v>1</v>
      </c>
      <c r="D42" s="15" t="s">
        <v>2</v>
      </c>
      <c r="E42" s="15" t="s">
        <v>3</v>
      </c>
      <c r="F42" s="15" t="s">
        <v>4</v>
      </c>
      <c r="G42" s="15" t="s">
        <v>5</v>
      </c>
      <c r="H42" s="29">
        <f t="shared" ref="H42" ca="1" si="12">SomarCores(G$64,C43:G43)</f>
        <v>10</v>
      </c>
      <c r="L42" s="8"/>
    </row>
    <row r="43" spans="1:13" x14ac:dyDescent="0.25">
      <c r="A43" s="26"/>
      <c r="B43" s="28"/>
      <c r="C43" s="22"/>
      <c r="D43" s="22"/>
      <c r="E43" s="22"/>
      <c r="F43" s="22"/>
      <c r="G43" s="22"/>
      <c r="H43" s="30"/>
      <c r="L43" s="8"/>
    </row>
    <row r="44" spans="1:13" x14ac:dyDescent="0.25">
      <c r="A44" s="16" t="s">
        <v>32</v>
      </c>
      <c r="B44" s="13"/>
      <c r="C44" s="13"/>
      <c r="D44" s="13"/>
      <c r="E44" s="13"/>
      <c r="F44" s="13"/>
      <c r="G44" s="13"/>
      <c r="H44" s="14"/>
      <c r="L44" s="8"/>
    </row>
    <row r="45" spans="1:13" x14ac:dyDescent="0.25">
      <c r="A45" s="25" t="s">
        <v>26</v>
      </c>
      <c r="B45" s="27"/>
      <c r="C45" s="15" t="s">
        <v>1</v>
      </c>
      <c r="D45" s="15" t="s">
        <v>2</v>
      </c>
      <c r="E45" s="15" t="s">
        <v>3</v>
      </c>
      <c r="F45" s="15" t="s">
        <v>4</v>
      </c>
      <c r="G45" s="15" t="s">
        <v>5</v>
      </c>
      <c r="H45" s="29">
        <f t="shared" ref="H45" ca="1" si="13">SomarCores(G$64,C46:G46)</f>
        <v>10</v>
      </c>
      <c r="L45" s="8"/>
    </row>
    <row r="46" spans="1:13" x14ac:dyDescent="0.25">
      <c r="A46" s="26"/>
      <c r="B46" s="28"/>
      <c r="C46" s="22"/>
      <c r="D46" s="22"/>
      <c r="E46" s="22"/>
      <c r="F46" s="22"/>
      <c r="G46" s="22"/>
      <c r="H46" s="30"/>
      <c r="L46" s="8"/>
    </row>
    <row r="47" spans="1:13" x14ac:dyDescent="0.25">
      <c r="A47" s="16" t="s">
        <v>32</v>
      </c>
      <c r="B47" s="13"/>
      <c r="C47" s="13"/>
      <c r="D47" s="13"/>
      <c r="E47" s="13"/>
      <c r="F47" s="13"/>
      <c r="G47" s="13"/>
      <c r="H47" s="14"/>
      <c r="L47" s="8"/>
    </row>
    <row r="48" spans="1:13" x14ac:dyDescent="0.25">
      <c r="A48" s="25" t="s">
        <v>27</v>
      </c>
      <c r="B48" s="27"/>
      <c r="C48" s="15" t="s">
        <v>1</v>
      </c>
      <c r="D48" s="15" t="s">
        <v>2</v>
      </c>
      <c r="E48" s="15" t="s">
        <v>3</v>
      </c>
      <c r="F48" s="15" t="s">
        <v>4</v>
      </c>
      <c r="G48" s="15" t="s">
        <v>5</v>
      </c>
      <c r="H48" s="29">
        <f t="shared" ref="H48" ca="1" si="14">SomarCores(G$64,C49:G49)</f>
        <v>10</v>
      </c>
      <c r="L48" s="8"/>
      <c r="M48" s="8"/>
    </row>
    <row r="49" spans="1:13" x14ac:dyDescent="0.25">
      <c r="A49" s="26"/>
      <c r="B49" s="28"/>
      <c r="C49" s="22"/>
      <c r="D49" s="22"/>
      <c r="E49" s="22"/>
      <c r="F49" s="22"/>
      <c r="G49" s="22"/>
      <c r="H49" s="30"/>
      <c r="L49" s="8"/>
      <c r="M49" s="8"/>
    </row>
    <row r="50" spans="1:13" x14ac:dyDescent="0.25">
      <c r="A50" s="16" t="s">
        <v>32</v>
      </c>
      <c r="B50" s="13"/>
      <c r="C50" s="13"/>
      <c r="D50" s="13"/>
      <c r="E50" s="13"/>
      <c r="F50" s="13"/>
      <c r="G50" s="13"/>
      <c r="H50" s="14"/>
      <c r="L50" s="8"/>
      <c r="M50" s="8"/>
    </row>
    <row r="51" spans="1:13" x14ac:dyDescent="0.25">
      <c r="A51" s="25" t="s">
        <v>28</v>
      </c>
      <c r="B51" s="27"/>
      <c r="C51" s="15" t="s">
        <v>1</v>
      </c>
      <c r="D51" s="15" t="s">
        <v>2</v>
      </c>
      <c r="E51" s="15" t="s">
        <v>3</v>
      </c>
      <c r="F51" s="15" t="s">
        <v>4</v>
      </c>
      <c r="G51" s="15" t="s">
        <v>5</v>
      </c>
      <c r="H51" s="29">
        <f t="shared" ref="H51" ca="1" si="15">SomarCores(G$64,C52:G52)</f>
        <v>10</v>
      </c>
      <c r="L51" s="8"/>
      <c r="M51" s="8"/>
    </row>
    <row r="52" spans="1:13" x14ac:dyDescent="0.25">
      <c r="A52" s="26"/>
      <c r="B52" s="28"/>
      <c r="C52" s="22"/>
      <c r="D52" s="22"/>
      <c r="E52" s="22"/>
      <c r="F52" s="22"/>
      <c r="G52" s="22"/>
      <c r="H52" s="30"/>
      <c r="L52" s="8"/>
      <c r="M52" s="8"/>
    </row>
    <row r="53" spans="1:13" x14ac:dyDescent="0.25">
      <c r="A53" s="16" t="s">
        <v>32</v>
      </c>
      <c r="B53" s="13"/>
      <c r="C53" s="13"/>
      <c r="D53" s="13"/>
      <c r="E53" s="13"/>
      <c r="F53" s="13"/>
      <c r="G53" s="13"/>
      <c r="H53" s="14"/>
      <c r="L53" s="8"/>
      <c r="M53" s="8"/>
    </row>
    <row r="54" spans="1:13" x14ac:dyDescent="0.25">
      <c r="A54" s="25" t="s">
        <v>29</v>
      </c>
      <c r="B54" s="27"/>
      <c r="C54" s="15" t="s">
        <v>1</v>
      </c>
      <c r="D54" s="15" t="s">
        <v>2</v>
      </c>
      <c r="E54" s="15" t="s">
        <v>3</v>
      </c>
      <c r="F54" s="15" t="s">
        <v>4</v>
      </c>
      <c r="G54" s="15" t="s">
        <v>5</v>
      </c>
      <c r="H54" s="29">
        <f t="shared" ref="H54" ca="1" si="16">SomarCores(G$64,C55:G55)</f>
        <v>10</v>
      </c>
      <c r="L54" s="8"/>
      <c r="M54" s="8"/>
    </row>
    <row r="55" spans="1:13" x14ac:dyDescent="0.25">
      <c r="A55" s="26"/>
      <c r="B55" s="28"/>
      <c r="C55" s="22"/>
      <c r="D55" s="22"/>
      <c r="E55" s="22"/>
      <c r="F55" s="22"/>
      <c r="G55" s="22"/>
      <c r="H55" s="30"/>
      <c r="L55" s="8"/>
      <c r="M55" s="8"/>
    </row>
    <row r="56" spans="1:13" x14ac:dyDescent="0.25">
      <c r="A56" s="16" t="s">
        <v>32</v>
      </c>
      <c r="B56" s="13"/>
      <c r="C56" s="13"/>
      <c r="D56" s="13"/>
      <c r="E56" s="13"/>
      <c r="F56" s="13"/>
      <c r="G56" s="13"/>
      <c r="H56" s="14"/>
      <c r="L56" s="8"/>
      <c r="M56" s="8"/>
    </row>
    <row r="57" spans="1:13" x14ac:dyDescent="0.25">
      <c r="A57" s="25" t="s">
        <v>30</v>
      </c>
      <c r="B57" s="27"/>
      <c r="C57" s="15" t="s">
        <v>1</v>
      </c>
      <c r="D57" s="15" t="s">
        <v>2</v>
      </c>
      <c r="E57" s="15" t="s">
        <v>3</v>
      </c>
      <c r="F57" s="15" t="s">
        <v>4</v>
      </c>
      <c r="G57" s="15" t="s">
        <v>5</v>
      </c>
      <c r="H57" s="29">
        <f t="shared" ref="H57" ca="1" si="17">SomarCores(G$64,C58:G58)</f>
        <v>10</v>
      </c>
      <c r="L57" s="8"/>
      <c r="M57" s="8"/>
    </row>
    <row r="58" spans="1:13" x14ac:dyDescent="0.25">
      <c r="A58" s="26"/>
      <c r="B58" s="28"/>
      <c r="C58" s="22"/>
      <c r="D58" s="22"/>
      <c r="E58" s="22"/>
      <c r="F58" s="22"/>
      <c r="G58" s="22"/>
      <c r="H58" s="30"/>
      <c r="L58" s="8"/>
      <c r="M58" s="8"/>
    </row>
    <row r="59" spans="1:13" x14ac:dyDescent="0.25">
      <c r="A59" s="16" t="s">
        <v>32</v>
      </c>
      <c r="B59" s="13"/>
      <c r="C59" s="13"/>
      <c r="D59" s="13"/>
      <c r="E59" s="13"/>
      <c r="F59" s="13"/>
      <c r="G59" s="13"/>
      <c r="H59" s="14"/>
      <c r="L59" s="8"/>
      <c r="M59" s="8"/>
    </row>
    <row r="60" spans="1:13" x14ac:dyDescent="0.25">
      <c r="A60" s="25" t="s">
        <v>31</v>
      </c>
      <c r="B60" s="27"/>
      <c r="C60" s="15" t="s">
        <v>1</v>
      </c>
      <c r="D60" s="15" t="s">
        <v>2</v>
      </c>
      <c r="E60" s="15" t="s">
        <v>3</v>
      </c>
      <c r="F60" s="15" t="s">
        <v>4</v>
      </c>
      <c r="G60" s="15" t="s">
        <v>5</v>
      </c>
      <c r="H60" s="29">
        <f t="shared" ref="H60" ca="1" si="18">SomarCores(G$64,C61:G61)</f>
        <v>10</v>
      </c>
      <c r="L60" s="8"/>
      <c r="M60" s="8"/>
    </row>
    <row r="61" spans="1:13" x14ac:dyDescent="0.25">
      <c r="A61" s="26"/>
      <c r="B61" s="28"/>
      <c r="C61" s="22"/>
      <c r="D61" s="22"/>
      <c r="E61" s="22"/>
      <c r="F61" s="22"/>
      <c r="G61" s="22"/>
      <c r="H61" s="30"/>
      <c r="L61" s="8"/>
      <c r="M61" s="8"/>
    </row>
    <row r="62" spans="1:13" x14ac:dyDescent="0.25">
      <c r="A62" s="16" t="s">
        <v>32</v>
      </c>
      <c r="B62" s="13"/>
      <c r="C62" s="13"/>
      <c r="D62" s="13"/>
      <c r="E62" s="13"/>
      <c r="F62" s="13"/>
      <c r="G62" s="13"/>
      <c r="H62" s="14"/>
      <c r="L62" s="8"/>
      <c r="M62" s="8"/>
    </row>
    <row r="63" spans="1:13" x14ac:dyDescent="0.25">
      <c r="F63" s="34" t="s">
        <v>12</v>
      </c>
      <c r="G63" s="5"/>
      <c r="H63" s="10"/>
      <c r="L63" s="8"/>
      <c r="M63" s="8"/>
    </row>
    <row r="64" spans="1:13" x14ac:dyDescent="0.25">
      <c r="F64" s="35"/>
      <c r="G64" s="24"/>
      <c r="H64" s="1" t="s">
        <v>7</v>
      </c>
      <c r="L64" s="8"/>
      <c r="M64" s="8"/>
    </row>
    <row r="65" spans="6:13" x14ac:dyDescent="0.25">
      <c r="F65" s="35"/>
      <c r="G65" s="23"/>
      <c r="H65" s="1" t="s">
        <v>17</v>
      </c>
      <c r="L65" s="8"/>
      <c r="M65" s="8"/>
    </row>
    <row r="66" spans="6:13" x14ac:dyDescent="0.25">
      <c r="F66" s="36"/>
      <c r="G66" s="12"/>
      <c r="H66" s="11"/>
      <c r="L66" s="8"/>
      <c r="M66" s="8"/>
    </row>
    <row r="67" spans="6:13" x14ac:dyDescent="0.25">
      <c r="L67" s="8"/>
      <c r="M67" s="8"/>
    </row>
    <row r="68" spans="6:13" x14ac:dyDescent="0.25">
      <c r="L68" s="8"/>
      <c r="M68" s="8"/>
    </row>
    <row r="69" spans="6:13" x14ac:dyDescent="0.25">
      <c r="L69" s="8"/>
      <c r="M69" s="8"/>
    </row>
    <row r="70" spans="6:13" x14ac:dyDescent="0.25">
      <c r="L70" s="8"/>
      <c r="M70" s="8"/>
    </row>
    <row r="71" spans="6:13" x14ac:dyDescent="0.25">
      <c r="L71" s="8"/>
      <c r="M71" s="8"/>
    </row>
    <row r="72" spans="6:13" x14ac:dyDescent="0.25">
      <c r="L72" s="8"/>
      <c r="M72" s="8"/>
    </row>
    <row r="73" spans="6:13" x14ac:dyDescent="0.25">
      <c r="L73" s="8"/>
      <c r="M73" s="8"/>
    </row>
    <row r="74" spans="6:13" x14ac:dyDescent="0.25">
      <c r="L74" s="8"/>
      <c r="M74" s="8"/>
    </row>
    <row r="75" spans="6:13" x14ac:dyDescent="0.25">
      <c r="L75" s="8"/>
      <c r="M75" s="8"/>
    </row>
    <row r="76" spans="6:13" x14ac:dyDescent="0.25">
      <c r="H76" s="8"/>
      <c r="L76" s="8"/>
      <c r="M76" s="8"/>
    </row>
    <row r="77" spans="6:13" x14ac:dyDescent="0.25">
      <c r="H77" s="8"/>
      <c r="L77" s="8"/>
      <c r="M77" s="8"/>
    </row>
    <row r="78" spans="6:13" x14ac:dyDescent="0.25">
      <c r="H78" s="8"/>
      <c r="L78" s="8"/>
      <c r="M78" s="8"/>
    </row>
    <row r="79" spans="6:13" x14ac:dyDescent="0.25">
      <c r="H79" s="8"/>
      <c r="L79" s="8"/>
      <c r="M79" s="8"/>
    </row>
    <row r="80" spans="6:13" x14ac:dyDescent="0.25">
      <c r="H80" s="8"/>
      <c r="L80" s="8"/>
      <c r="M80" s="8"/>
    </row>
    <row r="81" spans="8:13" x14ac:dyDescent="0.25">
      <c r="H81" s="8"/>
      <c r="L81" s="8"/>
      <c r="M81" s="8"/>
    </row>
    <row r="82" spans="8:13" x14ac:dyDescent="0.25">
      <c r="H82" s="8"/>
      <c r="L82" s="8"/>
      <c r="M82" s="8"/>
    </row>
    <row r="83" spans="8:13" x14ac:dyDescent="0.25">
      <c r="H83" s="8"/>
      <c r="L83" s="8"/>
      <c r="M83" s="8"/>
    </row>
    <row r="84" spans="8:13" x14ac:dyDescent="0.25">
      <c r="H84" s="8"/>
      <c r="L84" s="8"/>
      <c r="M84" s="8"/>
    </row>
    <row r="85" spans="8:13" x14ac:dyDescent="0.25">
      <c r="H85" s="8"/>
      <c r="L85" s="8"/>
      <c r="M85" s="8"/>
    </row>
    <row r="86" spans="8:13" x14ac:dyDescent="0.25">
      <c r="H86" s="8"/>
      <c r="L86" s="8"/>
      <c r="M86" s="8"/>
    </row>
    <row r="87" spans="8:13" x14ac:dyDescent="0.25">
      <c r="H87" s="8"/>
      <c r="L87" s="8"/>
      <c r="M87" s="8"/>
    </row>
    <row r="88" spans="8:13" x14ac:dyDescent="0.25">
      <c r="H88" s="8"/>
      <c r="L88" s="8"/>
      <c r="M88" s="8"/>
    </row>
    <row r="89" spans="8:13" x14ac:dyDescent="0.25">
      <c r="H89" s="8"/>
      <c r="L89" s="8"/>
      <c r="M89" s="8"/>
    </row>
    <row r="90" spans="8:13" x14ac:dyDescent="0.25">
      <c r="H90" s="8"/>
      <c r="L90" s="8"/>
      <c r="M90" s="8"/>
    </row>
    <row r="91" spans="8:13" x14ac:dyDescent="0.25">
      <c r="L91" s="8"/>
      <c r="M91" s="8"/>
    </row>
    <row r="92" spans="8:13" x14ac:dyDescent="0.25">
      <c r="L92" s="8"/>
      <c r="M92" s="8"/>
    </row>
    <row r="93" spans="8:13" x14ac:dyDescent="0.25">
      <c r="L93" s="8"/>
      <c r="M93" s="8"/>
    </row>
    <row r="94" spans="8:13" x14ac:dyDescent="0.25">
      <c r="L94" s="8"/>
      <c r="M94" s="8"/>
    </row>
    <row r="95" spans="8:13" x14ac:dyDescent="0.25">
      <c r="L95" s="8"/>
      <c r="M95" s="8"/>
    </row>
    <row r="96" spans="8:13" x14ac:dyDescent="0.25">
      <c r="L96" s="8"/>
      <c r="M96" s="8"/>
    </row>
    <row r="97" spans="12:13" x14ac:dyDescent="0.25">
      <c r="L97" s="8"/>
      <c r="M97" s="8"/>
    </row>
    <row r="98" spans="12:13" x14ac:dyDescent="0.25">
      <c r="L98" s="8"/>
      <c r="M98" s="8"/>
    </row>
    <row r="99" spans="12:13" x14ac:dyDescent="0.25">
      <c r="L99" s="8"/>
      <c r="M99" s="8"/>
    </row>
    <row r="100" spans="12:13" x14ac:dyDescent="0.25">
      <c r="L100" s="8"/>
      <c r="M100" s="8"/>
    </row>
    <row r="101" spans="12:13" x14ac:dyDescent="0.25">
      <c r="L101" s="8"/>
      <c r="M101" s="8"/>
    </row>
    <row r="102" spans="12:13" x14ac:dyDescent="0.25">
      <c r="L102" s="8"/>
      <c r="M102" s="8"/>
    </row>
    <row r="103" spans="12:13" x14ac:dyDescent="0.25">
      <c r="L103" s="8"/>
      <c r="M103" s="8"/>
    </row>
    <row r="104" spans="12:13" x14ac:dyDescent="0.25">
      <c r="L104" s="8"/>
      <c r="M104" s="8"/>
    </row>
    <row r="105" spans="12:13" x14ac:dyDescent="0.25">
      <c r="L105" s="8"/>
      <c r="M105" s="8"/>
    </row>
    <row r="106" spans="12:13" x14ac:dyDescent="0.25">
      <c r="L106" s="8"/>
      <c r="M106" s="8"/>
    </row>
    <row r="107" spans="12:13" x14ac:dyDescent="0.25">
      <c r="L107" s="8"/>
      <c r="M107" s="8"/>
    </row>
    <row r="108" spans="12:13" x14ac:dyDescent="0.25">
      <c r="L108" s="8"/>
      <c r="M108" s="8"/>
    </row>
    <row r="109" spans="12:13" x14ac:dyDescent="0.25">
      <c r="L109" s="8"/>
      <c r="M109" s="8"/>
    </row>
    <row r="110" spans="12:13" x14ac:dyDescent="0.25">
      <c r="L110" s="8"/>
      <c r="M110" s="8"/>
    </row>
    <row r="111" spans="12:13" x14ac:dyDescent="0.25">
      <c r="L111" s="8"/>
      <c r="M111" s="8"/>
    </row>
    <row r="112" spans="12:13" x14ac:dyDescent="0.25">
      <c r="L112" s="8"/>
      <c r="M112" s="8"/>
    </row>
    <row r="113" spans="12:13" x14ac:dyDescent="0.25">
      <c r="L113" s="8"/>
      <c r="M113" s="8"/>
    </row>
    <row r="114" spans="12:13" x14ac:dyDescent="0.25">
      <c r="L114" s="8"/>
      <c r="M114" s="8"/>
    </row>
    <row r="115" spans="12:13" x14ac:dyDescent="0.25">
      <c r="L115" s="8"/>
      <c r="M115" s="8"/>
    </row>
    <row r="116" spans="12:13" x14ac:dyDescent="0.25">
      <c r="L116" s="8"/>
      <c r="M116" s="8"/>
    </row>
    <row r="117" spans="12:13" x14ac:dyDescent="0.25">
      <c r="L117" s="8"/>
      <c r="M117" s="8"/>
    </row>
    <row r="118" spans="12:13" x14ac:dyDescent="0.25">
      <c r="L118" s="8"/>
      <c r="M118" s="8"/>
    </row>
    <row r="119" spans="12:13" x14ac:dyDescent="0.25">
      <c r="L119" s="8"/>
      <c r="M119" s="8"/>
    </row>
    <row r="120" spans="12:13" x14ac:dyDescent="0.25">
      <c r="L120" s="8"/>
      <c r="M120" s="8"/>
    </row>
    <row r="121" spans="12:13" x14ac:dyDescent="0.25">
      <c r="L121" s="8"/>
      <c r="M121" s="8"/>
    </row>
    <row r="122" spans="12:13" x14ac:dyDescent="0.25">
      <c r="L122" s="8"/>
      <c r="M122" s="8"/>
    </row>
    <row r="123" spans="12:13" x14ac:dyDescent="0.25">
      <c r="L123" s="8"/>
      <c r="M123" s="8"/>
    </row>
    <row r="124" spans="12:13" x14ac:dyDescent="0.25">
      <c r="L124" s="8"/>
      <c r="M124" s="8"/>
    </row>
    <row r="125" spans="12:13" x14ac:dyDescent="0.25">
      <c r="L125" s="8"/>
      <c r="M125" s="8"/>
    </row>
    <row r="126" spans="12:13" x14ac:dyDescent="0.25">
      <c r="L126" s="8"/>
      <c r="M126" s="8"/>
    </row>
    <row r="127" spans="12:13" x14ac:dyDescent="0.25">
      <c r="L127" s="8"/>
      <c r="M127" s="8"/>
    </row>
    <row r="128" spans="12:13" x14ac:dyDescent="0.25">
      <c r="L128" s="8"/>
      <c r="M128" s="8"/>
    </row>
    <row r="129" spans="12:13" x14ac:dyDescent="0.25">
      <c r="L129" s="8"/>
      <c r="M129" s="8"/>
    </row>
    <row r="130" spans="12:13" x14ac:dyDescent="0.25">
      <c r="L130" s="8"/>
      <c r="M130" s="8"/>
    </row>
    <row r="131" spans="12:13" x14ac:dyDescent="0.25">
      <c r="L131" s="8"/>
      <c r="M131" s="8"/>
    </row>
    <row r="132" spans="12:13" x14ac:dyDescent="0.25">
      <c r="L132" s="8"/>
      <c r="M132" s="8"/>
    </row>
    <row r="133" spans="12:13" x14ac:dyDescent="0.25">
      <c r="L133" s="8"/>
      <c r="M133" s="8"/>
    </row>
    <row r="134" spans="12:13" x14ac:dyDescent="0.25">
      <c r="L134" s="8"/>
      <c r="M134" s="8"/>
    </row>
    <row r="135" spans="12:13" x14ac:dyDescent="0.25">
      <c r="L135" s="8"/>
      <c r="M135" s="8"/>
    </row>
    <row r="136" spans="12:13" x14ac:dyDescent="0.25">
      <c r="L136" s="8"/>
      <c r="M136" s="8"/>
    </row>
    <row r="137" spans="12:13" x14ac:dyDescent="0.25">
      <c r="L137" s="8"/>
      <c r="M137" s="8"/>
    </row>
    <row r="138" spans="12:13" x14ac:dyDescent="0.25">
      <c r="L138" s="8"/>
      <c r="M138" s="8"/>
    </row>
    <row r="139" spans="12:13" x14ac:dyDescent="0.25">
      <c r="L139" s="8"/>
      <c r="M139" s="8"/>
    </row>
    <row r="140" spans="12:13" x14ac:dyDescent="0.25">
      <c r="L140" s="8"/>
      <c r="M140" s="8"/>
    </row>
    <row r="141" spans="12:13" x14ac:dyDescent="0.25">
      <c r="L141" s="8"/>
      <c r="M141" s="8"/>
    </row>
    <row r="142" spans="12:13" x14ac:dyDescent="0.25">
      <c r="L142" s="8"/>
      <c r="M142" s="8"/>
    </row>
    <row r="143" spans="12:13" x14ac:dyDescent="0.25">
      <c r="L143" s="8"/>
      <c r="M143" s="8"/>
    </row>
    <row r="144" spans="12:13" x14ac:dyDescent="0.25">
      <c r="L144" s="8"/>
      <c r="M144" s="8"/>
    </row>
    <row r="145" spans="12:13" x14ac:dyDescent="0.25">
      <c r="L145" s="8"/>
      <c r="M145" s="8"/>
    </row>
    <row r="146" spans="12:13" x14ac:dyDescent="0.25">
      <c r="L146" s="8"/>
      <c r="M146" s="8"/>
    </row>
    <row r="147" spans="12:13" x14ac:dyDescent="0.25">
      <c r="L147" s="8"/>
      <c r="M147" s="8"/>
    </row>
    <row r="148" spans="12:13" x14ac:dyDescent="0.25">
      <c r="L148" s="8"/>
      <c r="M148" s="8"/>
    </row>
    <row r="149" spans="12:13" x14ac:dyDescent="0.25">
      <c r="L149" s="8"/>
      <c r="M149" s="8"/>
    </row>
    <row r="150" spans="12:13" x14ac:dyDescent="0.25">
      <c r="L150" s="8"/>
      <c r="M150" s="8"/>
    </row>
    <row r="151" spans="12:13" x14ac:dyDescent="0.25">
      <c r="L151" s="8"/>
      <c r="M151" s="8"/>
    </row>
    <row r="152" spans="12:13" x14ac:dyDescent="0.25">
      <c r="L152" s="8"/>
      <c r="M152" s="8"/>
    </row>
    <row r="153" spans="12:13" x14ac:dyDescent="0.25">
      <c r="L153" s="8"/>
      <c r="M153" s="8"/>
    </row>
    <row r="154" spans="12:13" x14ac:dyDescent="0.25">
      <c r="L154" s="8"/>
      <c r="M154" s="8"/>
    </row>
    <row r="155" spans="12:13" x14ac:dyDescent="0.25">
      <c r="L155" s="8"/>
      <c r="M155" s="8"/>
    </row>
    <row r="156" spans="12:13" x14ac:dyDescent="0.25">
      <c r="M156" s="8"/>
    </row>
    <row r="157" spans="12:13" x14ac:dyDescent="0.25">
      <c r="M157" s="8"/>
    </row>
    <row r="158" spans="12:13" x14ac:dyDescent="0.25">
      <c r="M158" s="8"/>
    </row>
    <row r="159" spans="12:13" x14ac:dyDescent="0.25">
      <c r="M159" s="8"/>
    </row>
    <row r="160" spans="12:13" x14ac:dyDescent="0.25">
      <c r="M160" s="8"/>
    </row>
    <row r="161" spans="13:13" x14ac:dyDescent="0.25">
      <c r="M161" s="8"/>
    </row>
    <row r="162" spans="13:13" x14ac:dyDescent="0.25">
      <c r="M162" s="8"/>
    </row>
    <row r="163" spans="13:13" x14ac:dyDescent="0.25">
      <c r="M163" s="8"/>
    </row>
    <row r="164" spans="13:13" x14ac:dyDescent="0.25">
      <c r="M164" s="8"/>
    </row>
    <row r="165" spans="13:13" x14ac:dyDescent="0.25">
      <c r="M165" s="8"/>
    </row>
    <row r="166" spans="13:13" x14ac:dyDescent="0.25">
      <c r="M166" s="8"/>
    </row>
    <row r="167" spans="13:13" x14ac:dyDescent="0.25">
      <c r="M167" s="8"/>
    </row>
    <row r="168" spans="13:13" x14ac:dyDescent="0.25">
      <c r="M168" s="8"/>
    </row>
    <row r="169" spans="13:13" x14ac:dyDescent="0.25">
      <c r="M169" s="8"/>
    </row>
    <row r="170" spans="13:13" x14ac:dyDescent="0.25">
      <c r="M170" s="8"/>
    </row>
    <row r="171" spans="13:13" x14ac:dyDescent="0.25">
      <c r="M171" s="8"/>
    </row>
    <row r="172" spans="13:13" x14ac:dyDescent="0.25">
      <c r="M172" s="8"/>
    </row>
    <row r="173" spans="13:13" x14ac:dyDescent="0.25">
      <c r="M173" s="8"/>
    </row>
    <row r="174" spans="13:13" x14ac:dyDescent="0.25">
      <c r="M174" s="8"/>
    </row>
    <row r="175" spans="13:13" x14ac:dyDescent="0.25">
      <c r="M175" s="8"/>
    </row>
    <row r="176" spans="13:13" x14ac:dyDescent="0.25">
      <c r="M176" s="8"/>
    </row>
    <row r="177" spans="13:13" x14ac:dyDescent="0.25">
      <c r="M177" s="8"/>
    </row>
    <row r="178" spans="13:13" x14ac:dyDescent="0.25">
      <c r="M178" s="8"/>
    </row>
    <row r="179" spans="13:13" x14ac:dyDescent="0.25">
      <c r="M179" s="8"/>
    </row>
    <row r="180" spans="13:13" x14ac:dyDescent="0.25">
      <c r="M180" s="8"/>
    </row>
    <row r="181" spans="13:13" x14ac:dyDescent="0.25">
      <c r="M181" s="8"/>
    </row>
    <row r="182" spans="13:13" x14ac:dyDescent="0.25">
      <c r="M182" s="8"/>
    </row>
    <row r="183" spans="13:13" x14ac:dyDescent="0.25">
      <c r="M183" s="8"/>
    </row>
    <row r="184" spans="13:13" x14ac:dyDescent="0.25">
      <c r="M184" s="8"/>
    </row>
    <row r="185" spans="13:13" x14ac:dyDescent="0.25">
      <c r="M185" s="8"/>
    </row>
    <row r="186" spans="13:13" x14ac:dyDescent="0.25">
      <c r="M186" s="8"/>
    </row>
    <row r="187" spans="13:13" x14ac:dyDescent="0.25">
      <c r="M187" s="8"/>
    </row>
    <row r="188" spans="13:13" x14ac:dyDescent="0.25">
      <c r="M188" s="8"/>
    </row>
    <row r="189" spans="13:13" x14ac:dyDescent="0.25">
      <c r="M189" s="8"/>
    </row>
    <row r="190" spans="13:13" x14ac:dyDescent="0.25">
      <c r="M190" s="8"/>
    </row>
    <row r="191" spans="13:13" x14ac:dyDescent="0.25">
      <c r="M191" s="8"/>
    </row>
    <row r="192" spans="13:13" x14ac:dyDescent="0.25">
      <c r="M192" s="8"/>
    </row>
    <row r="193" spans="13:13" x14ac:dyDescent="0.25">
      <c r="M193" s="8"/>
    </row>
    <row r="194" spans="13:13" x14ac:dyDescent="0.25">
      <c r="M194" s="8"/>
    </row>
    <row r="195" spans="13:13" x14ac:dyDescent="0.25">
      <c r="M195" s="8"/>
    </row>
    <row r="196" spans="13:13" x14ac:dyDescent="0.25">
      <c r="M196" s="8"/>
    </row>
    <row r="197" spans="13:13" x14ac:dyDescent="0.25">
      <c r="M197" s="8"/>
    </row>
    <row r="198" spans="13:13" x14ac:dyDescent="0.25">
      <c r="M198" s="8"/>
    </row>
    <row r="199" spans="13:13" x14ac:dyDescent="0.25">
      <c r="M199" s="8"/>
    </row>
    <row r="200" spans="13:13" x14ac:dyDescent="0.25">
      <c r="M200" s="8"/>
    </row>
    <row r="201" spans="13:13" x14ac:dyDescent="0.25">
      <c r="M201" s="8"/>
    </row>
    <row r="202" spans="13:13" x14ac:dyDescent="0.25">
      <c r="M202" s="8"/>
    </row>
    <row r="203" spans="13:13" x14ac:dyDescent="0.25">
      <c r="M203" s="8"/>
    </row>
    <row r="204" spans="13:13" x14ac:dyDescent="0.25">
      <c r="M204" s="8"/>
    </row>
    <row r="205" spans="13:13" x14ac:dyDescent="0.25">
      <c r="M205" s="8"/>
    </row>
    <row r="206" spans="13:13" x14ac:dyDescent="0.25">
      <c r="M206" s="8"/>
    </row>
    <row r="207" spans="13:13" x14ac:dyDescent="0.25">
      <c r="M207" s="8"/>
    </row>
    <row r="208" spans="13:13" x14ac:dyDescent="0.25">
      <c r="M208" s="8"/>
    </row>
    <row r="209" spans="13:13" x14ac:dyDescent="0.25">
      <c r="M209" s="8"/>
    </row>
    <row r="210" spans="13:13" x14ac:dyDescent="0.25">
      <c r="M210" s="8"/>
    </row>
    <row r="211" spans="13:13" x14ac:dyDescent="0.25">
      <c r="M211" s="8"/>
    </row>
    <row r="212" spans="13:13" x14ac:dyDescent="0.25">
      <c r="M212" s="8"/>
    </row>
    <row r="213" spans="13:13" x14ac:dyDescent="0.25">
      <c r="M213" s="8"/>
    </row>
    <row r="214" spans="13:13" x14ac:dyDescent="0.25">
      <c r="M214" s="8"/>
    </row>
    <row r="215" spans="13:13" x14ac:dyDescent="0.25">
      <c r="M215" s="8"/>
    </row>
    <row r="216" spans="13:13" x14ac:dyDescent="0.25">
      <c r="M216" s="8"/>
    </row>
    <row r="217" spans="13:13" x14ac:dyDescent="0.25">
      <c r="M217" s="8"/>
    </row>
    <row r="218" spans="13:13" x14ac:dyDescent="0.25">
      <c r="M218" s="8"/>
    </row>
    <row r="219" spans="13:13" x14ac:dyDescent="0.25">
      <c r="M219" s="8"/>
    </row>
    <row r="220" spans="13:13" x14ac:dyDescent="0.25">
      <c r="M220" s="8"/>
    </row>
    <row r="221" spans="13:13" x14ac:dyDescent="0.25">
      <c r="M221" s="8"/>
    </row>
    <row r="222" spans="13:13" x14ac:dyDescent="0.25">
      <c r="M222" s="8"/>
    </row>
    <row r="223" spans="13:13" x14ac:dyDescent="0.25">
      <c r="M223" s="8"/>
    </row>
    <row r="224" spans="13:13" x14ac:dyDescent="0.25">
      <c r="M224" s="8"/>
    </row>
    <row r="225" spans="13:13" x14ac:dyDescent="0.25">
      <c r="M225" s="8"/>
    </row>
    <row r="226" spans="13:13" x14ac:dyDescent="0.25">
      <c r="M226" s="8"/>
    </row>
    <row r="227" spans="13:13" x14ac:dyDescent="0.25">
      <c r="M227" s="8"/>
    </row>
    <row r="228" spans="13:13" x14ac:dyDescent="0.25">
      <c r="M228" s="8"/>
    </row>
    <row r="229" spans="13:13" x14ac:dyDescent="0.25">
      <c r="M229" s="8"/>
    </row>
    <row r="230" spans="13:13" x14ac:dyDescent="0.25">
      <c r="M230" s="8"/>
    </row>
    <row r="231" spans="13:13" x14ac:dyDescent="0.25">
      <c r="M231" s="8"/>
    </row>
    <row r="232" spans="13:13" x14ac:dyDescent="0.25">
      <c r="M232" s="8"/>
    </row>
    <row r="233" spans="13:13" x14ac:dyDescent="0.25">
      <c r="M233" s="8"/>
    </row>
    <row r="234" spans="13:13" x14ac:dyDescent="0.25">
      <c r="M234" s="8"/>
    </row>
    <row r="235" spans="13:13" x14ac:dyDescent="0.25">
      <c r="M235" s="8"/>
    </row>
    <row r="236" spans="13:13" x14ac:dyDescent="0.25">
      <c r="M236" s="8"/>
    </row>
    <row r="237" spans="13:13" x14ac:dyDescent="0.25">
      <c r="M237" s="8"/>
    </row>
    <row r="238" spans="13:13" x14ac:dyDescent="0.25">
      <c r="M238" s="8"/>
    </row>
    <row r="239" spans="13:13" x14ac:dyDescent="0.25">
      <c r="M239" s="8"/>
    </row>
    <row r="240" spans="13:13" x14ac:dyDescent="0.25">
      <c r="M240" s="8"/>
    </row>
    <row r="241" spans="13:13" x14ac:dyDescent="0.25">
      <c r="M241" s="8"/>
    </row>
    <row r="242" spans="13:13" x14ac:dyDescent="0.25">
      <c r="M242" s="8"/>
    </row>
    <row r="243" spans="13:13" x14ac:dyDescent="0.25">
      <c r="M243" s="8"/>
    </row>
    <row r="244" spans="13:13" x14ac:dyDescent="0.25">
      <c r="M244" s="8"/>
    </row>
    <row r="245" spans="13:13" x14ac:dyDescent="0.25">
      <c r="M245" s="8"/>
    </row>
    <row r="246" spans="13:13" x14ac:dyDescent="0.25">
      <c r="M246" s="8"/>
    </row>
    <row r="247" spans="13:13" x14ac:dyDescent="0.25">
      <c r="M247" s="8"/>
    </row>
    <row r="248" spans="13:13" x14ac:dyDescent="0.25">
      <c r="M248" s="8"/>
    </row>
    <row r="249" spans="13:13" x14ac:dyDescent="0.25">
      <c r="M249" s="8"/>
    </row>
    <row r="250" spans="13:13" x14ac:dyDescent="0.25">
      <c r="M250" s="8"/>
    </row>
    <row r="251" spans="13:13" x14ac:dyDescent="0.25">
      <c r="M251" s="8"/>
    </row>
    <row r="252" spans="13:13" x14ac:dyDescent="0.25">
      <c r="M252" s="8"/>
    </row>
    <row r="253" spans="13:13" x14ac:dyDescent="0.25">
      <c r="M253" s="8"/>
    </row>
    <row r="254" spans="13:13" x14ac:dyDescent="0.25">
      <c r="M254" s="8"/>
    </row>
    <row r="255" spans="13:13" x14ac:dyDescent="0.25">
      <c r="M255" s="8"/>
    </row>
    <row r="256" spans="13:13" x14ac:dyDescent="0.25">
      <c r="M256" s="8"/>
    </row>
    <row r="257" spans="13:13" x14ac:dyDescent="0.25">
      <c r="M257" s="8"/>
    </row>
    <row r="258" spans="13:13" x14ac:dyDescent="0.25">
      <c r="M258" s="8"/>
    </row>
    <row r="259" spans="13:13" x14ac:dyDescent="0.25">
      <c r="M259" s="8"/>
    </row>
    <row r="260" spans="13:13" x14ac:dyDescent="0.25">
      <c r="M260" s="8"/>
    </row>
    <row r="261" spans="13:13" x14ac:dyDescent="0.25">
      <c r="M261" s="8"/>
    </row>
    <row r="262" spans="13:13" x14ac:dyDescent="0.25">
      <c r="M262" s="8"/>
    </row>
    <row r="263" spans="13:13" x14ac:dyDescent="0.25">
      <c r="M263" s="8"/>
    </row>
    <row r="264" spans="13:13" x14ac:dyDescent="0.25">
      <c r="M264" s="8"/>
    </row>
    <row r="265" spans="13:13" x14ac:dyDescent="0.25">
      <c r="M265" s="8"/>
    </row>
    <row r="266" spans="13:13" x14ac:dyDescent="0.25">
      <c r="M266" s="8"/>
    </row>
    <row r="267" spans="13:13" x14ac:dyDescent="0.25">
      <c r="M267" s="8"/>
    </row>
    <row r="268" spans="13:13" x14ac:dyDescent="0.25">
      <c r="M268" s="8"/>
    </row>
    <row r="269" spans="13:13" x14ac:dyDescent="0.25">
      <c r="M269" s="8"/>
    </row>
    <row r="270" spans="13:13" x14ac:dyDescent="0.25">
      <c r="M270" s="8"/>
    </row>
    <row r="271" spans="13:13" x14ac:dyDescent="0.25">
      <c r="M271" s="8"/>
    </row>
    <row r="272" spans="13:13" x14ac:dyDescent="0.25">
      <c r="M272" s="8"/>
    </row>
    <row r="273" spans="13:13" x14ac:dyDescent="0.25">
      <c r="M273" s="8"/>
    </row>
    <row r="274" spans="13:13" x14ac:dyDescent="0.25">
      <c r="M274" s="8"/>
    </row>
    <row r="275" spans="13:13" x14ac:dyDescent="0.25">
      <c r="M275" s="8"/>
    </row>
    <row r="276" spans="13:13" x14ac:dyDescent="0.25">
      <c r="M276" s="8"/>
    </row>
    <row r="277" spans="13:13" x14ac:dyDescent="0.25">
      <c r="M277" s="8"/>
    </row>
    <row r="278" spans="13:13" x14ac:dyDescent="0.25">
      <c r="M278" s="8"/>
    </row>
    <row r="279" spans="13:13" x14ac:dyDescent="0.25">
      <c r="M279" s="8"/>
    </row>
    <row r="280" spans="13:13" x14ac:dyDescent="0.25">
      <c r="M280" s="8"/>
    </row>
    <row r="281" spans="13:13" x14ac:dyDescent="0.25">
      <c r="M281" s="8"/>
    </row>
    <row r="282" spans="13:13" x14ac:dyDescent="0.25">
      <c r="M282" s="8"/>
    </row>
    <row r="283" spans="13:13" x14ac:dyDescent="0.25">
      <c r="M283" s="8"/>
    </row>
    <row r="284" spans="13:13" x14ac:dyDescent="0.25">
      <c r="M284" s="8"/>
    </row>
    <row r="285" spans="13:13" x14ac:dyDescent="0.25">
      <c r="M285" s="8"/>
    </row>
    <row r="286" spans="13:13" x14ac:dyDescent="0.25">
      <c r="M286" s="8"/>
    </row>
    <row r="287" spans="13:13" x14ac:dyDescent="0.25">
      <c r="M287" s="8"/>
    </row>
    <row r="288" spans="13:13" x14ac:dyDescent="0.25">
      <c r="M288" s="8"/>
    </row>
    <row r="289" spans="13:13" x14ac:dyDescent="0.25">
      <c r="M289" s="8"/>
    </row>
    <row r="290" spans="13:13" x14ac:dyDescent="0.25">
      <c r="M290" s="8"/>
    </row>
    <row r="291" spans="13:13" x14ac:dyDescent="0.25">
      <c r="M291" s="8"/>
    </row>
    <row r="292" spans="13:13" x14ac:dyDescent="0.25">
      <c r="M292" s="8"/>
    </row>
    <row r="293" spans="13:13" x14ac:dyDescent="0.25">
      <c r="M293" s="8"/>
    </row>
    <row r="294" spans="13:13" x14ac:dyDescent="0.25">
      <c r="M294" s="8"/>
    </row>
    <row r="295" spans="13:13" x14ac:dyDescent="0.25">
      <c r="M295" s="8"/>
    </row>
    <row r="296" spans="13:13" x14ac:dyDescent="0.25">
      <c r="M296" s="8"/>
    </row>
    <row r="297" spans="13:13" x14ac:dyDescent="0.25">
      <c r="M297" s="8"/>
    </row>
    <row r="298" spans="13:13" x14ac:dyDescent="0.25">
      <c r="M298" s="8"/>
    </row>
    <row r="299" spans="13:13" x14ac:dyDescent="0.25">
      <c r="M299" s="8"/>
    </row>
    <row r="300" spans="13:13" x14ac:dyDescent="0.25">
      <c r="M300" s="8"/>
    </row>
    <row r="301" spans="13:13" x14ac:dyDescent="0.25">
      <c r="M301" s="8"/>
    </row>
    <row r="302" spans="13:13" x14ac:dyDescent="0.25">
      <c r="M302" s="8"/>
    </row>
    <row r="303" spans="13:13" x14ac:dyDescent="0.25">
      <c r="M303" s="8"/>
    </row>
    <row r="304" spans="13:13" x14ac:dyDescent="0.25">
      <c r="M304" s="8"/>
    </row>
    <row r="305" spans="13:13" x14ac:dyDescent="0.25">
      <c r="M305" s="8"/>
    </row>
    <row r="306" spans="13:13" x14ac:dyDescent="0.25">
      <c r="M306" s="8"/>
    </row>
    <row r="307" spans="13:13" x14ac:dyDescent="0.25">
      <c r="M307" s="8"/>
    </row>
    <row r="308" spans="13:13" x14ac:dyDescent="0.25">
      <c r="M308" s="8"/>
    </row>
    <row r="309" spans="13:13" x14ac:dyDescent="0.25">
      <c r="M309" s="8"/>
    </row>
    <row r="310" spans="13:13" x14ac:dyDescent="0.25">
      <c r="M310" s="8"/>
    </row>
    <row r="311" spans="13:13" x14ac:dyDescent="0.25">
      <c r="M311" s="8"/>
    </row>
    <row r="312" spans="13:13" x14ac:dyDescent="0.25">
      <c r="M312" s="8"/>
    </row>
    <row r="313" spans="13:13" x14ac:dyDescent="0.25">
      <c r="M313" s="8"/>
    </row>
    <row r="314" spans="13:13" x14ac:dyDescent="0.25">
      <c r="M314" s="8"/>
    </row>
    <row r="315" spans="13:13" x14ac:dyDescent="0.25">
      <c r="M315" s="8"/>
    </row>
  </sheetData>
  <sheetProtection algorithmName="SHA-512" hashValue="5FpNMQ/ehbu3cx1jwQD6pNYsUmqGOXIsz316uBfdjC0dLknsoZvEF19nSAEWuxRLxFw8Ya+3JEPG4y0mcx3fzQ==" saltValue="1frLkv22CdVmzBY/a2ZjPw==" spinCount="100000" sheet="1" objects="1" scenarios="1" selectLockedCells="1"/>
  <sortState ref="B10:B12">
    <sortCondition ref="B12"/>
  </sortState>
  <mergeCells count="63">
    <mergeCell ref="F63:F66"/>
    <mergeCell ref="A6:A7"/>
    <mergeCell ref="B6:B7"/>
    <mergeCell ref="H6:H7"/>
    <mergeCell ref="C2:G2"/>
    <mergeCell ref="B3:B4"/>
    <mergeCell ref="A3:A4"/>
    <mergeCell ref="H3:H4"/>
    <mergeCell ref="A9:A10"/>
    <mergeCell ref="B9:B10"/>
    <mergeCell ref="H9:H10"/>
    <mergeCell ref="A12:A13"/>
    <mergeCell ref="B12:B13"/>
    <mergeCell ref="H12:H13"/>
    <mergeCell ref="A15:A16"/>
    <mergeCell ref="B15:B16"/>
    <mergeCell ref="B1:H1"/>
    <mergeCell ref="A21:A22"/>
    <mergeCell ref="B21:B22"/>
    <mergeCell ref="H21:H22"/>
    <mergeCell ref="A24:A25"/>
    <mergeCell ref="B24:B25"/>
    <mergeCell ref="H24:H25"/>
    <mergeCell ref="H15:H16"/>
    <mergeCell ref="A18:A19"/>
    <mergeCell ref="B18:B19"/>
    <mergeCell ref="H18:H19"/>
    <mergeCell ref="A27:A28"/>
    <mergeCell ref="B27:B28"/>
    <mergeCell ref="H27:H28"/>
    <mergeCell ref="A30:A31"/>
    <mergeCell ref="B30:B31"/>
    <mergeCell ref="H30:H31"/>
    <mergeCell ref="A33:A34"/>
    <mergeCell ref="B33:B34"/>
    <mergeCell ref="H33:H34"/>
    <mergeCell ref="A36:A37"/>
    <mergeCell ref="B36:B37"/>
    <mergeCell ref="H36:H37"/>
    <mergeCell ref="A39:A40"/>
    <mergeCell ref="B39:B40"/>
    <mergeCell ref="H39:H40"/>
    <mergeCell ref="A42:A43"/>
    <mergeCell ref="B42:B43"/>
    <mergeCell ref="H42:H43"/>
    <mergeCell ref="A45:A46"/>
    <mergeCell ref="B45:B46"/>
    <mergeCell ref="H45:H46"/>
    <mergeCell ref="A48:A49"/>
    <mergeCell ref="B48:B49"/>
    <mergeCell ref="H48:H49"/>
    <mergeCell ref="A51:A52"/>
    <mergeCell ref="B51:B52"/>
    <mergeCell ref="H51:H52"/>
    <mergeCell ref="A54:A55"/>
    <mergeCell ref="B54:B55"/>
    <mergeCell ref="H54:H55"/>
    <mergeCell ref="A57:A58"/>
    <mergeCell ref="B57:B58"/>
    <mergeCell ref="H57:H58"/>
    <mergeCell ref="A60:A61"/>
    <mergeCell ref="B60:B61"/>
    <mergeCell ref="H60:H61"/>
  </mergeCells>
  <conditionalFormatting sqref="H3:H4 H6:H7 H9:H10 H12:H13 H15:H16 H18:H19 H21:H22 H33:H34 H24:H25 H36:H37 H27:H28 H39:H40 H30:H31 H42:H43 H45:H46 H48:H49 H51:H52 H54:H55 H57:H58 H60:H61">
    <cfRule type="cellIs" dxfId="9" priority="1" operator="lessThanOrEqual">
      <formula>6.9</formula>
    </cfRule>
    <cfRule type="cellIs" dxfId="8" priority="2" stopIfTrue="1" operator="greaterThan">
      <formula>6.9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H66"/>
  <sheetViews>
    <sheetView workbookViewId="0">
      <selection activeCell="D31" sqref="D31"/>
    </sheetView>
  </sheetViews>
  <sheetFormatPr defaultRowHeight="15" x14ac:dyDescent="0.25"/>
  <cols>
    <col min="1" max="1" width="2.7109375" customWidth="1"/>
    <col min="2" max="2" width="32.85546875" customWidth="1"/>
    <col min="3" max="3" width="2.7109375" customWidth="1"/>
    <col min="4" max="7" width="2.85546875" customWidth="1"/>
    <col min="8" max="8" width="7.140625" customWidth="1"/>
  </cols>
  <sheetData>
    <row r="1" spans="1:8" ht="29.25" x14ac:dyDescent="0.25">
      <c r="A1" s="17">
        <v>42784</v>
      </c>
      <c r="B1" s="42" t="s">
        <v>33</v>
      </c>
      <c r="C1" s="43"/>
      <c r="D1" s="43"/>
      <c r="E1" s="43"/>
      <c r="F1" s="43"/>
      <c r="G1" s="43"/>
      <c r="H1" s="44"/>
    </row>
    <row r="2" spans="1:8" x14ac:dyDescent="0.25">
      <c r="A2" s="4" t="s">
        <v>8</v>
      </c>
      <c r="B2" s="4" t="s">
        <v>0</v>
      </c>
      <c r="C2" s="45" t="s">
        <v>9</v>
      </c>
      <c r="D2" s="45"/>
      <c r="E2" s="45"/>
      <c r="F2" s="45"/>
      <c r="G2" s="45"/>
      <c r="H2" s="2" t="s">
        <v>6</v>
      </c>
    </row>
    <row r="3" spans="1:8" x14ac:dyDescent="0.25">
      <c r="A3" s="25" t="s">
        <v>10</v>
      </c>
      <c r="B3" s="27"/>
      <c r="C3" s="15" t="s">
        <v>1</v>
      </c>
      <c r="D3" s="15" t="s">
        <v>2</v>
      </c>
      <c r="E3" s="15" t="s">
        <v>3</v>
      </c>
      <c r="F3" s="15" t="s">
        <v>4</v>
      </c>
      <c r="G3" s="15" t="s">
        <v>5</v>
      </c>
      <c r="H3" s="29">
        <f ca="1">SomarCoresPlan2(G$64,C4:G4)</f>
        <v>9.5</v>
      </c>
    </row>
    <row r="4" spans="1:8" x14ac:dyDescent="0.25">
      <c r="A4" s="26"/>
      <c r="B4" s="28"/>
      <c r="C4" s="22"/>
      <c r="D4" s="22"/>
      <c r="E4" s="22"/>
      <c r="F4" s="22"/>
      <c r="G4" s="22"/>
      <c r="H4" s="30"/>
    </row>
    <row r="5" spans="1:8" x14ac:dyDescent="0.25">
      <c r="A5" s="16" t="s">
        <v>32</v>
      </c>
      <c r="B5" s="13"/>
      <c r="C5" s="13"/>
      <c r="D5" s="13"/>
      <c r="E5" s="13"/>
      <c r="F5" s="13"/>
      <c r="G5" s="13"/>
      <c r="H5" s="14"/>
    </row>
    <row r="6" spans="1:8" x14ac:dyDescent="0.25">
      <c r="A6" s="25" t="s">
        <v>11</v>
      </c>
      <c r="B6" s="27"/>
      <c r="C6" s="15" t="s">
        <v>1</v>
      </c>
      <c r="D6" s="15" t="s">
        <v>2</v>
      </c>
      <c r="E6" s="15" t="s">
        <v>3</v>
      </c>
      <c r="F6" s="15" t="s">
        <v>4</v>
      </c>
      <c r="G6" s="15" t="s">
        <v>5</v>
      </c>
      <c r="H6" s="29">
        <f t="shared" ref="H6" ca="1" si="0">SomarCoresPlan2(G$64,C7:G7)</f>
        <v>9.5</v>
      </c>
    </row>
    <row r="7" spans="1:8" x14ac:dyDescent="0.25">
      <c r="A7" s="26"/>
      <c r="B7" s="28"/>
      <c r="C7" s="22"/>
      <c r="D7" s="22"/>
      <c r="E7" s="22"/>
      <c r="F7" s="22"/>
      <c r="G7" s="22"/>
      <c r="H7" s="30"/>
    </row>
    <row r="8" spans="1:8" x14ac:dyDescent="0.25">
      <c r="A8" s="16" t="s">
        <v>32</v>
      </c>
      <c r="B8" s="13"/>
      <c r="C8" s="13"/>
      <c r="D8" s="13"/>
      <c r="E8" s="13"/>
      <c r="F8" s="13"/>
      <c r="G8" s="13"/>
      <c r="H8" s="14"/>
    </row>
    <row r="9" spans="1:8" x14ac:dyDescent="0.25">
      <c r="A9" s="25" t="s">
        <v>13</v>
      </c>
      <c r="B9" s="27"/>
      <c r="C9" s="15" t="s">
        <v>1</v>
      </c>
      <c r="D9" s="15" t="s">
        <v>2</v>
      </c>
      <c r="E9" s="15" t="s">
        <v>3</v>
      </c>
      <c r="F9" s="15" t="s">
        <v>4</v>
      </c>
      <c r="G9" s="15" t="s">
        <v>5</v>
      </c>
      <c r="H9" s="29">
        <f t="shared" ref="H9" ca="1" si="1">SomarCoresPlan2(G$64,C10:G10)</f>
        <v>9.5</v>
      </c>
    </row>
    <row r="10" spans="1:8" x14ac:dyDescent="0.25">
      <c r="A10" s="26"/>
      <c r="B10" s="28"/>
      <c r="C10" s="22"/>
      <c r="D10" s="22"/>
      <c r="E10" s="22"/>
      <c r="F10" s="22"/>
      <c r="G10" s="22"/>
      <c r="H10" s="30"/>
    </row>
    <row r="11" spans="1:8" x14ac:dyDescent="0.25">
      <c r="A11" s="16" t="s">
        <v>32</v>
      </c>
      <c r="B11" s="13"/>
      <c r="C11" s="13"/>
      <c r="D11" s="13"/>
      <c r="E11" s="13"/>
      <c r="F11" s="13"/>
      <c r="G11" s="13"/>
      <c r="H11" s="14"/>
    </row>
    <row r="12" spans="1:8" x14ac:dyDescent="0.25">
      <c r="A12" s="25" t="s">
        <v>14</v>
      </c>
      <c r="B12" s="27"/>
      <c r="C12" s="15" t="s">
        <v>1</v>
      </c>
      <c r="D12" s="15" t="s">
        <v>2</v>
      </c>
      <c r="E12" s="15" t="s">
        <v>3</v>
      </c>
      <c r="F12" s="15" t="s">
        <v>4</v>
      </c>
      <c r="G12" s="15" t="s">
        <v>5</v>
      </c>
      <c r="H12" s="29">
        <f t="shared" ref="H12" ca="1" si="2">SomarCoresPlan2(G$64,C13:G13)</f>
        <v>9.5</v>
      </c>
    </row>
    <row r="13" spans="1:8" x14ac:dyDescent="0.25">
      <c r="A13" s="26"/>
      <c r="B13" s="28"/>
      <c r="C13" s="22"/>
      <c r="D13" s="22"/>
      <c r="E13" s="22"/>
      <c r="F13" s="22"/>
      <c r="G13" s="22"/>
      <c r="H13" s="30"/>
    </row>
    <row r="14" spans="1:8" x14ac:dyDescent="0.25">
      <c r="A14" s="16" t="s">
        <v>32</v>
      </c>
      <c r="B14" s="13"/>
      <c r="C14" s="13"/>
      <c r="D14" s="13"/>
      <c r="E14" s="13"/>
      <c r="F14" s="13"/>
      <c r="G14" s="13"/>
      <c r="H14" s="14"/>
    </row>
    <row r="15" spans="1:8" x14ac:dyDescent="0.25">
      <c r="A15" s="25" t="s">
        <v>15</v>
      </c>
      <c r="B15" s="27"/>
      <c r="C15" s="15" t="s">
        <v>1</v>
      </c>
      <c r="D15" s="15" t="s">
        <v>2</v>
      </c>
      <c r="E15" s="15" t="s">
        <v>3</v>
      </c>
      <c r="F15" s="15" t="s">
        <v>4</v>
      </c>
      <c r="G15" s="15" t="s">
        <v>5</v>
      </c>
      <c r="H15" s="29">
        <f t="shared" ref="H15" ca="1" si="3">SomarCoresPlan2(G$64,C16:G16)</f>
        <v>9.5</v>
      </c>
    </row>
    <row r="16" spans="1:8" x14ac:dyDescent="0.25">
      <c r="A16" s="26"/>
      <c r="B16" s="28"/>
      <c r="C16" s="22"/>
      <c r="D16" s="22"/>
      <c r="E16" s="22"/>
      <c r="F16" s="22"/>
      <c r="G16" s="22"/>
      <c r="H16" s="30"/>
    </row>
    <row r="17" spans="1:8" x14ac:dyDescent="0.25">
      <c r="A17" s="16" t="s">
        <v>32</v>
      </c>
      <c r="B17" s="13"/>
      <c r="C17" s="13"/>
      <c r="D17" s="13"/>
      <c r="E17" s="13"/>
      <c r="F17" s="13"/>
      <c r="G17" s="13"/>
      <c r="H17" s="14"/>
    </row>
    <row r="18" spans="1:8" x14ac:dyDescent="0.25">
      <c r="A18" s="25" t="s">
        <v>16</v>
      </c>
      <c r="B18" s="27"/>
      <c r="C18" s="15" t="s">
        <v>1</v>
      </c>
      <c r="D18" s="15" t="s">
        <v>2</v>
      </c>
      <c r="E18" s="15" t="s">
        <v>3</v>
      </c>
      <c r="F18" s="15" t="s">
        <v>4</v>
      </c>
      <c r="G18" s="15" t="s">
        <v>5</v>
      </c>
      <c r="H18" s="29">
        <f t="shared" ref="H18" ca="1" si="4">SomarCoresPlan2(G$64,C19:G19)</f>
        <v>9.5</v>
      </c>
    </row>
    <row r="19" spans="1:8" x14ac:dyDescent="0.25">
      <c r="A19" s="26"/>
      <c r="B19" s="28"/>
      <c r="C19" s="22"/>
      <c r="D19" s="22"/>
      <c r="E19" s="22"/>
      <c r="F19" s="22"/>
      <c r="G19" s="22"/>
      <c r="H19" s="30"/>
    </row>
    <row r="20" spans="1:8" x14ac:dyDescent="0.25">
      <c r="A20" s="16" t="s">
        <v>32</v>
      </c>
      <c r="B20" s="13"/>
      <c r="C20" s="13"/>
      <c r="D20" s="13"/>
      <c r="E20" s="13"/>
      <c r="F20" s="13"/>
      <c r="G20" s="13"/>
      <c r="H20" s="14"/>
    </row>
    <row r="21" spans="1:8" x14ac:dyDescent="0.25">
      <c r="A21" s="25" t="s">
        <v>18</v>
      </c>
      <c r="B21" s="27"/>
      <c r="C21" s="15" t="s">
        <v>1</v>
      </c>
      <c r="D21" s="15" t="s">
        <v>2</v>
      </c>
      <c r="E21" s="15" t="s">
        <v>3</v>
      </c>
      <c r="F21" s="15" t="s">
        <v>4</v>
      </c>
      <c r="G21" s="15" t="s">
        <v>5</v>
      </c>
      <c r="H21" s="29">
        <f t="shared" ref="H21" ca="1" si="5">SomarCoresPlan2(G$64,C22:G22)</f>
        <v>9.5</v>
      </c>
    </row>
    <row r="22" spans="1:8" x14ac:dyDescent="0.25">
      <c r="A22" s="26"/>
      <c r="B22" s="28"/>
      <c r="C22" s="22"/>
      <c r="D22" s="22"/>
      <c r="E22" s="22"/>
      <c r="F22" s="22"/>
      <c r="G22" s="22"/>
      <c r="H22" s="30"/>
    </row>
    <row r="23" spans="1:8" x14ac:dyDescent="0.25">
      <c r="A23" s="16" t="s">
        <v>32</v>
      </c>
      <c r="B23" s="13"/>
      <c r="C23" s="13"/>
      <c r="D23" s="13"/>
      <c r="E23" s="13"/>
      <c r="F23" s="13"/>
      <c r="G23" s="13"/>
      <c r="H23" s="14"/>
    </row>
    <row r="24" spans="1:8" x14ac:dyDescent="0.25">
      <c r="A24" s="25" t="s">
        <v>19</v>
      </c>
      <c r="B24" s="27"/>
      <c r="C24" s="15" t="s">
        <v>1</v>
      </c>
      <c r="D24" s="15" t="s">
        <v>2</v>
      </c>
      <c r="E24" s="15" t="s">
        <v>3</v>
      </c>
      <c r="F24" s="15" t="s">
        <v>4</v>
      </c>
      <c r="G24" s="15" t="s">
        <v>5</v>
      </c>
      <c r="H24" s="29">
        <f t="shared" ref="H24" ca="1" si="6">SomarCoresPlan2(G$64,C25:G25)</f>
        <v>9.5</v>
      </c>
    </row>
    <row r="25" spans="1:8" x14ac:dyDescent="0.25">
      <c r="A25" s="26"/>
      <c r="B25" s="28"/>
      <c r="C25" s="22"/>
      <c r="D25" s="22"/>
      <c r="E25" s="22"/>
      <c r="F25" s="22"/>
      <c r="G25" s="22"/>
      <c r="H25" s="30"/>
    </row>
    <row r="26" spans="1:8" x14ac:dyDescent="0.25">
      <c r="A26" s="16" t="s">
        <v>32</v>
      </c>
      <c r="B26" s="13"/>
      <c r="C26" s="13"/>
      <c r="D26" s="13"/>
      <c r="E26" s="13"/>
      <c r="F26" s="13"/>
      <c r="G26" s="13"/>
      <c r="H26" s="14"/>
    </row>
    <row r="27" spans="1:8" x14ac:dyDescent="0.25">
      <c r="A27" s="25" t="s">
        <v>20</v>
      </c>
      <c r="B27" s="27"/>
      <c r="C27" s="15" t="s">
        <v>1</v>
      </c>
      <c r="D27" s="15" t="s">
        <v>2</v>
      </c>
      <c r="E27" s="15" t="s">
        <v>3</v>
      </c>
      <c r="F27" s="15" t="s">
        <v>4</v>
      </c>
      <c r="G27" s="15" t="s">
        <v>5</v>
      </c>
      <c r="H27" s="29">
        <f t="shared" ref="H27" ca="1" si="7">SomarCoresPlan2(G$64,C28:G28)</f>
        <v>9.5</v>
      </c>
    </row>
    <row r="28" spans="1:8" x14ac:dyDescent="0.25">
      <c r="A28" s="26"/>
      <c r="B28" s="28"/>
      <c r="C28" s="22"/>
      <c r="D28" s="22"/>
      <c r="E28" s="22"/>
      <c r="F28" s="22"/>
      <c r="G28" s="22"/>
      <c r="H28" s="30"/>
    </row>
    <row r="29" spans="1:8" x14ac:dyDescent="0.25">
      <c r="A29" s="16" t="s">
        <v>32</v>
      </c>
      <c r="B29" s="13"/>
      <c r="C29" s="13"/>
      <c r="D29" s="13"/>
      <c r="E29" s="13"/>
      <c r="F29" s="13"/>
      <c r="G29" s="13"/>
      <c r="H29" s="14"/>
    </row>
    <row r="30" spans="1:8" x14ac:dyDescent="0.25">
      <c r="A30" s="25" t="s">
        <v>21</v>
      </c>
      <c r="B30" s="27"/>
      <c r="C30" s="15" t="s">
        <v>1</v>
      </c>
      <c r="D30" s="15" t="s">
        <v>2</v>
      </c>
      <c r="E30" s="15" t="s">
        <v>3</v>
      </c>
      <c r="F30" s="15" t="s">
        <v>4</v>
      </c>
      <c r="G30" s="15" t="s">
        <v>5</v>
      </c>
      <c r="H30" s="29">
        <f t="shared" ref="H30" ca="1" si="8">SomarCoresPlan2(G$64,C31:G31)</f>
        <v>9.5</v>
      </c>
    </row>
    <row r="31" spans="1:8" x14ac:dyDescent="0.25">
      <c r="A31" s="26"/>
      <c r="B31" s="28"/>
      <c r="C31" s="22"/>
      <c r="D31" s="22"/>
      <c r="E31" s="22"/>
      <c r="F31" s="22"/>
      <c r="G31" s="22"/>
      <c r="H31" s="30"/>
    </row>
    <row r="32" spans="1:8" x14ac:dyDescent="0.25">
      <c r="A32" s="16" t="s">
        <v>32</v>
      </c>
      <c r="B32" s="13"/>
      <c r="C32" s="13"/>
      <c r="D32" s="13"/>
      <c r="E32" s="13"/>
      <c r="F32" s="13"/>
      <c r="G32" s="13"/>
      <c r="H32" s="14"/>
    </row>
    <row r="33" spans="1:8" x14ac:dyDescent="0.25">
      <c r="A33" s="25" t="s">
        <v>22</v>
      </c>
      <c r="B33" s="27"/>
      <c r="C33" s="15" t="s">
        <v>1</v>
      </c>
      <c r="D33" s="15" t="s">
        <v>2</v>
      </c>
      <c r="E33" s="15" t="s">
        <v>3</v>
      </c>
      <c r="F33" s="15" t="s">
        <v>4</v>
      </c>
      <c r="G33" s="15" t="s">
        <v>5</v>
      </c>
      <c r="H33" s="29">
        <f t="shared" ref="H33" ca="1" si="9">SomarCoresPlan2(G$64,C34:G34)</f>
        <v>9.5</v>
      </c>
    </row>
    <row r="34" spans="1:8" x14ac:dyDescent="0.25">
      <c r="A34" s="26"/>
      <c r="B34" s="28"/>
      <c r="C34" s="22"/>
      <c r="D34" s="22"/>
      <c r="E34" s="22"/>
      <c r="F34" s="22"/>
      <c r="G34" s="22"/>
      <c r="H34" s="30"/>
    </row>
    <row r="35" spans="1:8" x14ac:dyDescent="0.25">
      <c r="A35" s="16" t="s">
        <v>32</v>
      </c>
      <c r="B35" s="13"/>
      <c r="C35" s="13"/>
      <c r="D35" s="13"/>
      <c r="E35" s="13"/>
      <c r="F35" s="13"/>
      <c r="G35" s="13"/>
      <c r="H35" s="14"/>
    </row>
    <row r="36" spans="1:8" x14ac:dyDescent="0.25">
      <c r="A36" s="25" t="s">
        <v>23</v>
      </c>
      <c r="B36" s="27"/>
      <c r="C36" s="15" t="s">
        <v>1</v>
      </c>
      <c r="D36" s="15" t="s">
        <v>2</v>
      </c>
      <c r="E36" s="15" t="s">
        <v>3</v>
      </c>
      <c r="F36" s="15" t="s">
        <v>4</v>
      </c>
      <c r="G36" s="15" t="s">
        <v>5</v>
      </c>
      <c r="H36" s="29">
        <f t="shared" ref="H36" ca="1" si="10">SomarCoresPlan2(G$64,C37:G37)</f>
        <v>9.5</v>
      </c>
    </row>
    <row r="37" spans="1:8" x14ac:dyDescent="0.25">
      <c r="A37" s="26"/>
      <c r="B37" s="28"/>
      <c r="C37" s="22"/>
      <c r="D37" s="22"/>
      <c r="E37" s="22"/>
      <c r="F37" s="22"/>
      <c r="G37" s="22"/>
      <c r="H37" s="30"/>
    </row>
    <row r="38" spans="1:8" x14ac:dyDescent="0.25">
      <c r="A38" s="16" t="s">
        <v>32</v>
      </c>
      <c r="B38" s="13"/>
      <c r="C38" s="13"/>
      <c r="D38" s="13"/>
      <c r="E38" s="13"/>
      <c r="F38" s="13"/>
      <c r="G38" s="13"/>
      <c r="H38" s="14"/>
    </row>
    <row r="39" spans="1:8" x14ac:dyDescent="0.25">
      <c r="A39" s="25" t="s">
        <v>24</v>
      </c>
      <c r="B39" s="27"/>
      <c r="C39" s="15" t="s">
        <v>1</v>
      </c>
      <c r="D39" s="15" t="s">
        <v>2</v>
      </c>
      <c r="E39" s="15" t="s">
        <v>3</v>
      </c>
      <c r="F39" s="15" t="s">
        <v>4</v>
      </c>
      <c r="G39" s="15" t="s">
        <v>5</v>
      </c>
      <c r="H39" s="29">
        <f t="shared" ref="H39" ca="1" si="11">SomarCoresPlan2(G$64,C40:G40)</f>
        <v>9.5</v>
      </c>
    </row>
    <row r="40" spans="1:8" x14ac:dyDescent="0.25">
      <c r="A40" s="26"/>
      <c r="B40" s="28"/>
      <c r="C40" s="22"/>
      <c r="D40" s="22"/>
      <c r="E40" s="22"/>
      <c r="F40" s="22"/>
      <c r="G40" s="22"/>
      <c r="H40" s="30"/>
    </row>
    <row r="41" spans="1:8" x14ac:dyDescent="0.25">
      <c r="A41" s="16" t="s">
        <v>32</v>
      </c>
      <c r="B41" s="13"/>
      <c r="C41" s="13"/>
      <c r="D41" s="13"/>
      <c r="E41" s="13"/>
      <c r="F41" s="13"/>
      <c r="G41" s="13"/>
      <c r="H41" s="14"/>
    </row>
    <row r="42" spans="1:8" x14ac:dyDescent="0.25">
      <c r="A42" s="25" t="s">
        <v>25</v>
      </c>
      <c r="B42" s="27"/>
      <c r="C42" s="15" t="s">
        <v>1</v>
      </c>
      <c r="D42" s="15" t="s">
        <v>2</v>
      </c>
      <c r="E42" s="15" t="s">
        <v>3</v>
      </c>
      <c r="F42" s="15" t="s">
        <v>4</v>
      </c>
      <c r="G42" s="15" t="s">
        <v>5</v>
      </c>
      <c r="H42" s="29">
        <f t="shared" ref="H42" ca="1" si="12">SomarCoresPlan2(G$64,C43:G43)</f>
        <v>9.5</v>
      </c>
    </row>
    <row r="43" spans="1:8" x14ac:dyDescent="0.25">
      <c r="A43" s="26"/>
      <c r="B43" s="28"/>
      <c r="C43" s="22"/>
      <c r="D43" s="22"/>
      <c r="E43" s="22"/>
      <c r="F43" s="22"/>
      <c r="G43" s="22"/>
      <c r="H43" s="30"/>
    </row>
    <row r="44" spans="1:8" x14ac:dyDescent="0.25">
      <c r="A44" s="16" t="s">
        <v>32</v>
      </c>
      <c r="B44" s="13"/>
      <c r="C44" s="13"/>
      <c r="D44" s="13"/>
      <c r="E44" s="13"/>
      <c r="F44" s="13"/>
      <c r="G44" s="13"/>
      <c r="H44" s="14"/>
    </row>
    <row r="45" spans="1:8" x14ac:dyDescent="0.25">
      <c r="A45" s="25" t="s">
        <v>26</v>
      </c>
      <c r="B45" s="27"/>
      <c r="C45" s="15" t="s">
        <v>1</v>
      </c>
      <c r="D45" s="15" t="s">
        <v>2</v>
      </c>
      <c r="E45" s="15" t="s">
        <v>3</v>
      </c>
      <c r="F45" s="15" t="s">
        <v>4</v>
      </c>
      <c r="G45" s="15" t="s">
        <v>5</v>
      </c>
      <c r="H45" s="29">
        <f t="shared" ref="H45" ca="1" si="13">SomarCoresPlan2(G$64,C46:G46)</f>
        <v>9.5</v>
      </c>
    </row>
    <row r="46" spans="1:8" x14ac:dyDescent="0.25">
      <c r="A46" s="26"/>
      <c r="B46" s="28"/>
      <c r="C46" s="22"/>
      <c r="D46" s="22"/>
      <c r="E46" s="22"/>
      <c r="F46" s="22"/>
      <c r="G46" s="22"/>
      <c r="H46" s="30"/>
    </row>
    <row r="47" spans="1:8" x14ac:dyDescent="0.25">
      <c r="A47" s="16" t="s">
        <v>32</v>
      </c>
      <c r="B47" s="13"/>
      <c r="C47" s="13"/>
      <c r="D47" s="13"/>
      <c r="E47" s="13"/>
      <c r="F47" s="13"/>
      <c r="G47" s="13"/>
      <c r="H47" s="14"/>
    </row>
    <row r="48" spans="1:8" x14ac:dyDescent="0.25">
      <c r="A48" s="25" t="s">
        <v>27</v>
      </c>
      <c r="B48" s="27"/>
      <c r="C48" s="15" t="s">
        <v>1</v>
      </c>
      <c r="D48" s="15" t="s">
        <v>2</v>
      </c>
      <c r="E48" s="15" t="s">
        <v>3</v>
      </c>
      <c r="F48" s="15" t="s">
        <v>4</v>
      </c>
      <c r="G48" s="15" t="s">
        <v>5</v>
      </c>
      <c r="H48" s="29">
        <f t="shared" ref="H48" ca="1" si="14">SomarCoresPlan2(G$64,C49:G49)</f>
        <v>9.5</v>
      </c>
    </row>
    <row r="49" spans="1:8" x14ac:dyDescent="0.25">
      <c r="A49" s="26"/>
      <c r="B49" s="28"/>
      <c r="C49" s="22"/>
      <c r="D49" s="22"/>
      <c r="E49" s="22"/>
      <c r="F49" s="22"/>
      <c r="G49" s="22"/>
      <c r="H49" s="30"/>
    </row>
    <row r="50" spans="1:8" x14ac:dyDescent="0.25">
      <c r="A50" s="16" t="s">
        <v>32</v>
      </c>
      <c r="B50" s="13"/>
      <c r="C50" s="13"/>
      <c r="D50" s="13"/>
      <c r="E50" s="13"/>
      <c r="F50" s="13"/>
      <c r="G50" s="13"/>
      <c r="H50" s="14"/>
    </row>
    <row r="51" spans="1:8" x14ac:dyDescent="0.25">
      <c r="A51" s="25" t="s">
        <v>28</v>
      </c>
      <c r="B51" s="27"/>
      <c r="C51" s="15" t="s">
        <v>1</v>
      </c>
      <c r="D51" s="15" t="s">
        <v>2</v>
      </c>
      <c r="E51" s="15" t="s">
        <v>3</v>
      </c>
      <c r="F51" s="15" t="s">
        <v>4</v>
      </c>
      <c r="G51" s="15" t="s">
        <v>5</v>
      </c>
      <c r="H51" s="29">
        <f t="shared" ref="H51" ca="1" si="15">SomarCoresPlan2(G$64,C52:G52)</f>
        <v>9.5</v>
      </c>
    </row>
    <row r="52" spans="1:8" x14ac:dyDescent="0.25">
      <c r="A52" s="26"/>
      <c r="B52" s="28"/>
      <c r="C52" s="22"/>
      <c r="D52" s="22"/>
      <c r="E52" s="22"/>
      <c r="F52" s="22"/>
      <c r="G52" s="22"/>
      <c r="H52" s="30"/>
    </row>
    <row r="53" spans="1:8" x14ac:dyDescent="0.25">
      <c r="A53" s="16" t="s">
        <v>32</v>
      </c>
      <c r="B53" s="13"/>
      <c r="C53" s="13"/>
      <c r="D53" s="13"/>
      <c r="E53" s="13"/>
      <c r="F53" s="13"/>
      <c r="G53" s="13"/>
      <c r="H53" s="14"/>
    </row>
    <row r="54" spans="1:8" x14ac:dyDescent="0.25">
      <c r="A54" s="25" t="s">
        <v>29</v>
      </c>
      <c r="B54" s="27"/>
      <c r="C54" s="15" t="s">
        <v>1</v>
      </c>
      <c r="D54" s="15" t="s">
        <v>2</v>
      </c>
      <c r="E54" s="15" t="s">
        <v>3</v>
      </c>
      <c r="F54" s="15" t="s">
        <v>4</v>
      </c>
      <c r="G54" s="15" t="s">
        <v>5</v>
      </c>
      <c r="H54" s="29">
        <f t="shared" ref="H54" ca="1" si="16">SomarCoresPlan2(G$64,C55:G55)</f>
        <v>9.5</v>
      </c>
    </row>
    <row r="55" spans="1:8" x14ac:dyDescent="0.25">
      <c r="A55" s="26"/>
      <c r="B55" s="28"/>
      <c r="C55" s="22"/>
      <c r="D55" s="22"/>
      <c r="E55" s="22"/>
      <c r="F55" s="22"/>
      <c r="G55" s="22"/>
      <c r="H55" s="30"/>
    </row>
    <row r="56" spans="1:8" x14ac:dyDescent="0.25">
      <c r="A56" s="16" t="s">
        <v>32</v>
      </c>
      <c r="B56" s="13"/>
      <c r="C56" s="13"/>
      <c r="D56" s="13"/>
      <c r="E56" s="13"/>
      <c r="F56" s="13"/>
      <c r="G56" s="13"/>
      <c r="H56" s="14"/>
    </row>
    <row r="57" spans="1:8" x14ac:dyDescent="0.25">
      <c r="A57" s="25" t="s">
        <v>30</v>
      </c>
      <c r="B57" s="27"/>
      <c r="C57" s="15" t="s">
        <v>1</v>
      </c>
      <c r="D57" s="15" t="s">
        <v>2</v>
      </c>
      <c r="E57" s="15" t="s">
        <v>3</v>
      </c>
      <c r="F57" s="15" t="s">
        <v>4</v>
      </c>
      <c r="G57" s="15" t="s">
        <v>5</v>
      </c>
      <c r="H57" s="29">
        <f t="shared" ref="H57" ca="1" si="17">SomarCoresPlan2(G$64,C58:G58)</f>
        <v>9.5</v>
      </c>
    </row>
    <row r="58" spans="1:8" x14ac:dyDescent="0.25">
      <c r="A58" s="26"/>
      <c r="B58" s="28"/>
      <c r="C58" s="22"/>
      <c r="D58" s="22"/>
      <c r="E58" s="22"/>
      <c r="F58" s="22"/>
      <c r="G58" s="22"/>
      <c r="H58" s="30"/>
    </row>
    <row r="59" spans="1:8" x14ac:dyDescent="0.25">
      <c r="A59" s="16" t="s">
        <v>32</v>
      </c>
      <c r="B59" s="13"/>
      <c r="C59" s="13"/>
      <c r="D59" s="13"/>
      <c r="E59" s="13"/>
      <c r="F59" s="13"/>
      <c r="G59" s="13"/>
      <c r="H59" s="14"/>
    </row>
    <row r="60" spans="1:8" x14ac:dyDescent="0.25">
      <c r="A60" s="25" t="s">
        <v>31</v>
      </c>
      <c r="B60" s="27"/>
      <c r="C60" s="15" t="s">
        <v>1</v>
      </c>
      <c r="D60" s="15" t="s">
        <v>2</v>
      </c>
      <c r="E60" s="15" t="s">
        <v>3</v>
      </c>
      <c r="F60" s="15" t="s">
        <v>4</v>
      </c>
      <c r="G60" s="15" t="s">
        <v>5</v>
      </c>
      <c r="H60" s="29">
        <f t="shared" ref="H60" ca="1" si="18">SomarCoresPlan2(G$64,C61:G61)</f>
        <v>9.5</v>
      </c>
    </row>
    <row r="61" spans="1:8" x14ac:dyDescent="0.25">
      <c r="A61" s="26"/>
      <c r="B61" s="28"/>
      <c r="C61" s="22"/>
      <c r="D61" s="22"/>
      <c r="E61" s="22"/>
      <c r="F61" s="22"/>
      <c r="G61" s="22"/>
      <c r="H61" s="30"/>
    </row>
    <row r="62" spans="1:8" x14ac:dyDescent="0.25">
      <c r="A62" s="16" t="s">
        <v>32</v>
      </c>
      <c r="B62" s="13"/>
      <c r="C62" s="13"/>
      <c r="D62" s="13"/>
      <c r="E62" s="13"/>
      <c r="F62" s="13"/>
      <c r="G62" s="13"/>
      <c r="H62" s="14"/>
    </row>
    <row r="63" spans="1:8" x14ac:dyDescent="0.25">
      <c r="F63" s="34" t="s">
        <v>12</v>
      </c>
      <c r="G63" s="5"/>
      <c r="H63" s="10"/>
    </row>
    <row r="64" spans="1:8" x14ac:dyDescent="0.25">
      <c r="F64" s="35"/>
      <c r="G64" s="24"/>
      <c r="H64" s="1" t="s">
        <v>7</v>
      </c>
    </row>
    <row r="65" spans="6:8" x14ac:dyDescent="0.25">
      <c r="F65" s="35"/>
      <c r="G65" s="23"/>
      <c r="H65" s="1" t="s">
        <v>17</v>
      </c>
    </row>
    <row r="66" spans="6:8" x14ac:dyDescent="0.25">
      <c r="F66" s="36"/>
      <c r="G66" s="12"/>
      <c r="H66" s="11"/>
    </row>
  </sheetData>
  <sheetProtection algorithmName="SHA-512" hashValue="o34YUOYS+vmFj5tlPFNYyV6FkB/X/xe7p7KFWOmsMH58KnE0hwrRtMxvtnhc0xIHvkZYCUqR6+CzI3olpqqVsg==" saltValue="N+mVvWDZRLU6Jn2wd7PLZQ==" spinCount="100000" sheet="1" objects="1" scenarios="1" selectLockedCells="1"/>
  <mergeCells count="63">
    <mergeCell ref="A6:A7"/>
    <mergeCell ref="B6:B7"/>
    <mergeCell ref="H6:H7"/>
    <mergeCell ref="B1:H1"/>
    <mergeCell ref="C2:G2"/>
    <mergeCell ref="A3:A4"/>
    <mergeCell ref="B3:B4"/>
    <mergeCell ref="H3:H4"/>
    <mergeCell ref="A9:A10"/>
    <mergeCell ref="B9:B10"/>
    <mergeCell ref="H9:H10"/>
    <mergeCell ref="A12:A13"/>
    <mergeCell ref="B12:B13"/>
    <mergeCell ref="H12:H13"/>
    <mergeCell ref="A15:A16"/>
    <mergeCell ref="B15:B16"/>
    <mergeCell ref="H15:H16"/>
    <mergeCell ref="A18:A19"/>
    <mergeCell ref="B18:B19"/>
    <mergeCell ref="H18:H19"/>
    <mergeCell ref="A21:A22"/>
    <mergeCell ref="B21:B22"/>
    <mergeCell ref="H21:H22"/>
    <mergeCell ref="A24:A25"/>
    <mergeCell ref="B24:B25"/>
    <mergeCell ref="H24:H25"/>
    <mergeCell ref="A27:A28"/>
    <mergeCell ref="B27:B28"/>
    <mergeCell ref="H27:H28"/>
    <mergeCell ref="A30:A31"/>
    <mergeCell ref="B30:B31"/>
    <mergeCell ref="H30:H31"/>
    <mergeCell ref="A33:A34"/>
    <mergeCell ref="B33:B34"/>
    <mergeCell ref="H33:H34"/>
    <mergeCell ref="A36:A37"/>
    <mergeCell ref="B36:B37"/>
    <mergeCell ref="H36:H37"/>
    <mergeCell ref="A39:A40"/>
    <mergeCell ref="B39:B40"/>
    <mergeCell ref="H39:H40"/>
    <mergeCell ref="A42:A43"/>
    <mergeCell ref="B42:B43"/>
    <mergeCell ref="H42:H43"/>
    <mergeCell ref="A45:A46"/>
    <mergeCell ref="B45:B46"/>
    <mergeCell ref="H45:H46"/>
    <mergeCell ref="A48:A49"/>
    <mergeCell ref="B48:B49"/>
    <mergeCell ref="H48:H49"/>
    <mergeCell ref="A51:A52"/>
    <mergeCell ref="B51:B52"/>
    <mergeCell ref="H51:H52"/>
    <mergeCell ref="A54:A55"/>
    <mergeCell ref="B54:B55"/>
    <mergeCell ref="H54:H55"/>
    <mergeCell ref="F63:F66"/>
    <mergeCell ref="A57:A58"/>
    <mergeCell ref="B57:B58"/>
    <mergeCell ref="H57:H58"/>
    <mergeCell ref="A60:A61"/>
    <mergeCell ref="B60:B61"/>
    <mergeCell ref="H60:H61"/>
  </mergeCells>
  <conditionalFormatting sqref="H3:H4 H6:H7 H9:H10 H12:H13 H15:H16 H18:H19 H21:H22 H24:H25 H27:H28 H30:H31 H33:H34 H36:H37 H39:H40 H42:H43 H45:H46 H48:H49 H51:H52 H54:H55 H57:H58 H60:H61">
    <cfRule type="cellIs" dxfId="7" priority="1" operator="lessThanOrEqual">
      <formula>6.9</formula>
    </cfRule>
    <cfRule type="cellIs" dxfId="6" priority="2" stopIfTrue="1" operator="greaterThan">
      <formula>6.9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H66"/>
  <sheetViews>
    <sheetView workbookViewId="0">
      <selection activeCell="B12" sqref="B12:B13"/>
    </sheetView>
  </sheetViews>
  <sheetFormatPr defaultRowHeight="15" x14ac:dyDescent="0.25"/>
  <cols>
    <col min="1" max="1" width="2.85546875" customWidth="1"/>
    <col min="2" max="2" width="32.85546875" customWidth="1"/>
    <col min="3" max="7" width="2.85546875" customWidth="1"/>
    <col min="8" max="8" width="7.140625" customWidth="1"/>
  </cols>
  <sheetData>
    <row r="1" spans="1:8" ht="29.25" x14ac:dyDescent="0.25">
      <c r="A1" s="3">
        <v>42785</v>
      </c>
      <c r="B1" s="42" t="s">
        <v>33</v>
      </c>
      <c r="C1" s="43"/>
      <c r="D1" s="43"/>
      <c r="E1" s="43"/>
      <c r="F1" s="43"/>
      <c r="G1" s="43"/>
      <c r="H1" s="44"/>
    </row>
    <row r="2" spans="1:8" x14ac:dyDescent="0.25">
      <c r="A2" s="4" t="s">
        <v>8</v>
      </c>
      <c r="B2" s="4" t="s">
        <v>0</v>
      </c>
      <c r="C2" s="45" t="s">
        <v>9</v>
      </c>
      <c r="D2" s="45"/>
      <c r="E2" s="45"/>
      <c r="F2" s="45"/>
      <c r="G2" s="45"/>
      <c r="H2" s="2" t="s">
        <v>6</v>
      </c>
    </row>
    <row r="3" spans="1:8" x14ac:dyDescent="0.25">
      <c r="A3" s="25" t="s">
        <v>10</v>
      </c>
      <c r="B3" s="27"/>
      <c r="C3" s="15" t="s">
        <v>1</v>
      </c>
      <c r="D3" s="15" t="s">
        <v>2</v>
      </c>
      <c r="E3" s="15" t="s">
        <v>3</v>
      </c>
      <c r="F3" s="15" t="s">
        <v>4</v>
      </c>
      <c r="G3" s="15" t="s">
        <v>5</v>
      </c>
      <c r="H3" s="29">
        <f ca="1">SomarCoresPlan3(G$64,C4:G4)</f>
        <v>9</v>
      </c>
    </row>
    <row r="4" spans="1:8" x14ac:dyDescent="0.25">
      <c r="A4" s="26"/>
      <c r="B4" s="28"/>
      <c r="C4" s="22"/>
      <c r="D4" s="22"/>
      <c r="E4" s="22"/>
      <c r="F4" s="22"/>
      <c r="G4" s="22"/>
      <c r="H4" s="30"/>
    </row>
    <row r="5" spans="1:8" x14ac:dyDescent="0.25">
      <c r="A5" s="16" t="s">
        <v>32</v>
      </c>
      <c r="B5" s="13"/>
      <c r="C5" s="13"/>
      <c r="D5" s="13"/>
      <c r="E5" s="13"/>
      <c r="F5" s="13"/>
      <c r="G5" s="13"/>
      <c r="H5" s="14"/>
    </row>
    <row r="6" spans="1:8" x14ac:dyDescent="0.25">
      <c r="A6" s="25" t="s">
        <v>11</v>
      </c>
      <c r="B6" s="27"/>
      <c r="C6" s="15" t="s">
        <v>1</v>
      </c>
      <c r="D6" s="15" t="s">
        <v>2</v>
      </c>
      <c r="E6" s="15" t="s">
        <v>3</v>
      </c>
      <c r="F6" s="15" t="s">
        <v>4</v>
      </c>
      <c r="G6" s="15" t="s">
        <v>5</v>
      </c>
      <c r="H6" s="29">
        <f t="shared" ref="H6" ca="1" si="0">SomarCoresPlan3(G$64,C7:G7)</f>
        <v>9</v>
      </c>
    </row>
    <row r="7" spans="1:8" x14ac:dyDescent="0.25">
      <c r="A7" s="26"/>
      <c r="B7" s="28"/>
      <c r="C7" s="22"/>
      <c r="D7" s="22"/>
      <c r="E7" s="22"/>
      <c r="F7" s="22"/>
      <c r="G7" s="22"/>
      <c r="H7" s="30"/>
    </row>
    <row r="8" spans="1:8" x14ac:dyDescent="0.25">
      <c r="A8" s="16" t="s">
        <v>32</v>
      </c>
      <c r="B8" s="13"/>
      <c r="C8" s="13"/>
      <c r="D8" s="13"/>
      <c r="E8" s="13"/>
      <c r="F8" s="13"/>
      <c r="G8" s="13"/>
      <c r="H8" s="14"/>
    </row>
    <row r="9" spans="1:8" x14ac:dyDescent="0.25">
      <c r="A9" s="25" t="s">
        <v>13</v>
      </c>
      <c r="B9" s="27"/>
      <c r="C9" s="15" t="s">
        <v>1</v>
      </c>
      <c r="D9" s="15" t="s">
        <v>2</v>
      </c>
      <c r="E9" s="15" t="s">
        <v>3</v>
      </c>
      <c r="F9" s="15" t="s">
        <v>4</v>
      </c>
      <c r="G9" s="15" t="s">
        <v>5</v>
      </c>
      <c r="H9" s="29">
        <f t="shared" ref="H9" ca="1" si="1">SomarCoresPlan3(G$64,C10:G10)</f>
        <v>9</v>
      </c>
    </row>
    <row r="10" spans="1:8" x14ac:dyDescent="0.25">
      <c r="A10" s="26"/>
      <c r="B10" s="28"/>
      <c r="C10" s="22"/>
      <c r="D10" s="22"/>
      <c r="E10" s="22"/>
      <c r="F10" s="22"/>
      <c r="G10" s="22"/>
      <c r="H10" s="30"/>
    </row>
    <row r="11" spans="1:8" x14ac:dyDescent="0.25">
      <c r="A11" s="16" t="s">
        <v>32</v>
      </c>
      <c r="B11" s="13"/>
      <c r="C11" s="13"/>
      <c r="D11" s="13"/>
      <c r="E11" s="13"/>
      <c r="F11" s="13"/>
      <c r="G11" s="13"/>
      <c r="H11" s="14"/>
    </row>
    <row r="12" spans="1:8" x14ac:dyDescent="0.25">
      <c r="A12" s="25" t="s">
        <v>14</v>
      </c>
      <c r="B12" s="27"/>
      <c r="C12" s="15" t="s">
        <v>1</v>
      </c>
      <c r="D12" s="15" t="s">
        <v>2</v>
      </c>
      <c r="E12" s="15" t="s">
        <v>3</v>
      </c>
      <c r="F12" s="15" t="s">
        <v>4</v>
      </c>
      <c r="G12" s="15" t="s">
        <v>5</v>
      </c>
      <c r="H12" s="29">
        <f t="shared" ref="H12" ca="1" si="2">SomarCoresPlan3(G$64,C13:G13)</f>
        <v>9</v>
      </c>
    </row>
    <row r="13" spans="1:8" x14ac:dyDescent="0.25">
      <c r="A13" s="26"/>
      <c r="B13" s="28"/>
      <c r="C13" s="22"/>
      <c r="D13" s="22"/>
      <c r="E13" s="22"/>
      <c r="F13" s="22"/>
      <c r="G13" s="22"/>
      <c r="H13" s="30"/>
    </row>
    <row r="14" spans="1:8" x14ac:dyDescent="0.25">
      <c r="A14" s="16" t="s">
        <v>32</v>
      </c>
      <c r="B14" s="13"/>
      <c r="C14" s="13"/>
      <c r="D14" s="13"/>
      <c r="E14" s="13"/>
      <c r="F14" s="13"/>
      <c r="G14" s="13"/>
      <c r="H14" s="14"/>
    </row>
    <row r="15" spans="1:8" x14ac:dyDescent="0.25">
      <c r="A15" s="25" t="s">
        <v>15</v>
      </c>
      <c r="B15" s="27"/>
      <c r="C15" s="15" t="s">
        <v>1</v>
      </c>
      <c r="D15" s="15" t="s">
        <v>2</v>
      </c>
      <c r="E15" s="15" t="s">
        <v>3</v>
      </c>
      <c r="F15" s="15" t="s">
        <v>4</v>
      </c>
      <c r="G15" s="15" t="s">
        <v>5</v>
      </c>
      <c r="H15" s="29">
        <f t="shared" ref="H15" ca="1" si="3">SomarCoresPlan3(G$64,C16:G16)</f>
        <v>9</v>
      </c>
    </row>
    <row r="16" spans="1:8" x14ac:dyDescent="0.25">
      <c r="A16" s="26"/>
      <c r="B16" s="28"/>
      <c r="C16" s="22"/>
      <c r="D16" s="22"/>
      <c r="E16" s="22"/>
      <c r="F16" s="22"/>
      <c r="G16" s="22"/>
      <c r="H16" s="30"/>
    </row>
    <row r="17" spans="1:8" x14ac:dyDescent="0.25">
      <c r="A17" s="16" t="s">
        <v>32</v>
      </c>
      <c r="B17" s="13"/>
      <c r="C17" s="13"/>
      <c r="D17" s="13"/>
      <c r="E17" s="13"/>
      <c r="F17" s="13"/>
      <c r="G17" s="13"/>
      <c r="H17" s="14"/>
    </row>
    <row r="18" spans="1:8" x14ac:dyDescent="0.25">
      <c r="A18" s="25" t="s">
        <v>16</v>
      </c>
      <c r="B18" s="27"/>
      <c r="C18" s="15" t="s">
        <v>1</v>
      </c>
      <c r="D18" s="15" t="s">
        <v>2</v>
      </c>
      <c r="E18" s="15" t="s">
        <v>3</v>
      </c>
      <c r="F18" s="15" t="s">
        <v>4</v>
      </c>
      <c r="G18" s="15" t="s">
        <v>5</v>
      </c>
      <c r="H18" s="29">
        <f t="shared" ref="H18" ca="1" si="4">SomarCoresPlan3(G$64,C19:G19)</f>
        <v>9</v>
      </c>
    </row>
    <row r="19" spans="1:8" x14ac:dyDescent="0.25">
      <c r="A19" s="26"/>
      <c r="B19" s="28"/>
      <c r="C19" s="22"/>
      <c r="D19" s="22"/>
      <c r="E19" s="22"/>
      <c r="F19" s="22"/>
      <c r="G19" s="22"/>
      <c r="H19" s="30"/>
    </row>
    <row r="20" spans="1:8" x14ac:dyDescent="0.25">
      <c r="A20" s="16" t="s">
        <v>32</v>
      </c>
      <c r="B20" s="13"/>
      <c r="C20" s="13"/>
      <c r="D20" s="13"/>
      <c r="E20" s="13"/>
      <c r="F20" s="13"/>
      <c r="G20" s="13"/>
      <c r="H20" s="14"/>
    </row>
    <row r="21" spans="1:8" x14ac:dyDescent="0.25">
      <c r="A21" s="25" t="s">
        <v>18</v>
      </c>
      <c r="B21" s="27"/>
      <c r="C21" s="15" t="s">
        <v>1</v>
      </c>
      <c r="D21" s="15" t="s">
        <v>2</v>
      </c>
      <c r="E21" s="15" t="s">
        <v>3</v>
      </c>
      <c r="F21" s="15" t="s">
        <v>4</v>
      </c>
      <c r="G21" s="15" t="s">
        <v>5</v>
      </c>
      <c r="H21" s="29">
        <f t="shared" ref="H21" ca="1" si="5">SomarCoresPlan3(G$64,C22:G22)</f>
        <v>9</v>
      </c>
    </row>
    <row r="22" spans="1:8" x14ac:dyDescent="0.25">
      <c r="A22" s="26"/>
      <c r="B22" s="28"/>
      <c r="C22" s="22"/>
      <c r="D22" s="22"/>
      <c r="E22" s="22"/>
      <c r="F22" s="22"/>
      <c r="G22" s="22"/>
      <c r="H22" s="30"/>
    </row>
    <row r="23" spans="1:8" x14ac:dyDescent="0.25">
      <c r="A23" s="16" t="s">
        <v>32</v>
      </c>
      <c r="B23" s="13"/>
      <c r="C23" s="13"/>
      <c r="D23" s="13"/>
      <c r="E23" s="13"/>
      <c r="F23" s="13"/>
      <c r="G23" s="13"/>
      <c r="H23" s="14"/>
    </row>
    <row r="24" spans="1:8" x14ac:dyDescent="0.25">
      <c r="A24" s="25" t="s">
        <v>19</v>
      </c>
      <c r="B24" s="27"/>
      <c r="C24" s="15" t="s">
        <v>1</v>
      </c>
      <c r="D24" s="15" t="s">
        <v>2</v>
      </c>
      <c r="E24" s="15" t="s">
        <v>3</v>
      </c>
      <c r="F24" s="15" t="s">
        <v>4</v>
      </c>
      <c r="G24" s="15" t="s">
        <v>5</v>
      </c>
      <c r="H24" s="29">
        <f t="shared" ref="H24" ca="1" si="6">SomarCoresPlan3(G$64,C25:G25)</f>
        <v>9</v>
      </c>
    </row>
    <row r="25" spans="1:8" x14ac:dyDescent="0.25">
      <c r="A25" s="26"/>
      <c r="B25" s="28"/>
      <c r="C25" s="22"/>
      <c r="D25" s="22"/>
      <c r="E25" s="22"/>
      <c r="F25" s="22"/>
      <c r="G25" s="22"/>
      <c r="H25" s="30"/>
    </row>
    <row r="26" spans="1:8" x14ac:dyDescent="0.25">
      <c r="A26" s="16" t="s">
        <v>32</v>
      </c>
      <c r="B26" s="13"/>
      <c r="C26" s="13"/>
      <c r="D26" s="13"/>
      <c r="E26" s="13"/>
      <c r="F26" s="13"/>
      <c r="G26" s="13"/>
      <c r="H26" s="14"/>
    </row>
    <row r="27" spans="1:8" x14ac:dyDescent="0.25">
      <c r="A27" s="25" t="s">
        <v>20</v>
      </c>
      <c r="B27" s="27"/>
      <c r="C27" s="15" t="s">
        <v>1</v>
      </c>
      <c r="D27" s="15" t="s">
        <v>2</v>
      </c>
      <c r="E27" s="15" t="s">
        <v>3</v>
      </c>
      <c r="F27" s="15" t="s">
        <v>4</v>
      </c>
      <c r="G27" s="15" t="s">
        <v>5</v>
      </c>
      <c r="H27" s="29">
        <f t="shared" ref="H27" ca="1" si="7">SomarCoresPlan3(G$64,C28:G28)</f>
        <v>9</v>
      </c>
    </row>
    <row r="28" spans="1:8" x14ac:dyDescent="0.25">
      <c r="A28" s="26"/>
      <c r="B28" s="28"/>
      <c r="C28" s="22"/>
      <c r="D28" s="22"/>
      <c r="E28" s="22"/>
      <c r="F28" s="22"/>
      <c r="G28" s="22"/>
      <c r="H28" s="30"/>
    </row>
    <row r="29" spans="1:8" x14ac:dyDescent="0.25">
      <c r="A29" s="16" t="s">
        <v>32</v>
      </c>
      <c r="B29" s="13"/>
      <c r="C29" s="13"/>
      <c r="D29" s="13"/>
      <c r="E29" s="13"/>
      <c r="F29" s="13"/>
      <c r="G29" s="13"/>
      <c r="H29" s="14"/>
    </row>
    <row r="30" spans="1:8" x14ac:dyDescent="0.25">
      <c r="A30" s="25" t="s">
        <v>21</v>
      </c>
      <c r="B30" s="27"/>
      <c r="C30" s="15" t="s">
        <v>1</v>
      </c>
      <c r="D30" s="15" t="s">
        <v>2</v>
      </c>
      <c r="E30" s="15" t="s">
        <v>3</v>
      </c>
      <c r="F30" s="15" t="s">
        <v>4</v>
      </c>
      <c r="G30" s="15" t="s">
        <v>5</v>
      </c>
      <c r="H30" s="29">
        <f t="shared" ref="H30" ca="1" si="8">SomarCoresPlan3(G$64,C31:G31)</f>
        <v>9</v>
      </c>
    </row>
    <row r="31" spans="1:8" x14ac:dyDescent="0.25">
      <c r="A31" s="26"/>
      <c r="B31" s="28"/>
      <c r="C31" s="22"/>
      <c r="D31" s="22"/>
      <c r="E31" s="22"/>
      <c r="F31" s="22"/>
      <c r="G31" s="22"/>
      <c r="H31" s="30"/>
    </row>
    <row r="32" spans="1:8" x14ac:dyDescent="0.25">
      <c r="A32" s="16" t="s">
        <v>32</v>
      </c>
      <c r="B32" s="13"/>
      <c r="C32" s="13"/>
      <c r="D32" s="13"/>
      <c r="E32" s="13"/>
      <c r="F32" s="13"/>
      <c r="G32" s="13"/>
      <c r="H32" s="14"/>
    </row>
    <row r="33" spans="1:8" x14ac:dyDescent="0.25">
      <c r="A33" s="25" t="s">
        <v>22</v>
      </c>
      <c r="B33" s="27"/>
      <c r="C33" s="15" t="s">
        <v>1</v>
      </c>
      <c r="D33" s="15" t="s">
        <v>2</v>
      </c>
      <c r="E33" s="15" t="s">
        <v>3</v>
      </c>
      <c r="F33" s="15" t="s">
        <v>4</v>
      </c>
      <c r="G33" s="15" t="s">
        <v>5</v>
      </c>
      <c r="H33" s="29">
        <f t="shared" ref="H33" ca="1" si="9">SomarCoresPlan3(G$64,C34:G34)</f>
        <v>9</v>
      </c>
    </row>
    <row r="34" spans="1:8" x14ac:dyDescent="0.25">
      <c r="A34" s="26"/>
      <c r="B34" s="28"/>
      <c r="C34" s="22"/>
      <c r="D34" s="22"/>
      <c r="E34" s="22"/>
      <c r="F34" s="22"/>
      <c r="G34" s="22"/>
      <c r="H34" s="30"/>
    </row>
    <row r="35" spans="1:8" x14ac:dyDescent="0.25">
      <c r="A35" s="16" t="s">
        <v>32</v>
      </c>
      <c r="B35" s="13"/>
      <c r="C35" s="13"/>
      <c r="D35" s="13"/>
      <c r="E35" s="13"/>
      <c r="F35" s="13"/>
      <c r="G35" s="13"/>
      <c r="H35" s="14"/>
    </row>
    <row r="36" spans="1:8" x14ac:dyDescent="0.25">
      <c r="A36" s="25" t="s">
        <v>23</v>
      </c>
      <c r="B36" s="27"/>
      <c r="C36" s="15" t="s">
        <v>1</v>
      </c>
      <c r="D36" s="15" t="s">
        <v>2</v>
      </c>
      <c r="E36" s="15" t="s">
        <v>3</v>
      </c>
      <c r="F36" s="15" t="s">
        <v>4</v>
      </c>
      <c r="G36" s="15" t="s">
        <v>5</v>
      </c>
      <c r="H36" s="29">
        <f t="shared" ref="H36" ca="1" si="10">SomarCoresPlan3(G$64,C37:G37)</f>
        <v>9</v>
      </c>
    </row>
    <row r="37" spans="1:8" x14ac:dyDescent="0.25">
      <c r="A37" s="26"/>
      <c r="B37" s="28"/>
      <c r="C37" s="22"/>
      <c r="D37" s="22"/>
      <c r="E37" s="22"/>
      <c r="F37" s="22"/>
      <c r="G37" s="22"/>
      <c r="H37" s="30"/>
    </row>
    <row r="38" spans="1:8" x14ac:dyDescent="0.25">
      <c r="A38" s="16" t="s">
        <v>32</v>
      </c>
      <c r="B38" s="13"/>
      <c r="C38" s="13"/>
      <c r="D38" s="13"/>
      <c r="E38" s="13"/>
      <c r="F38" s="13"/>
      <c r="G38" s="13"/>
      <c r="H38" s="14"/>
    </row>
    <row r="39" spans="1:8" x14ac:dyDescent="0.25">
      <c r="A39" s="25" t="s">
        <v>24</v>
      </c>
      <c r="B39" s="27"/>
      <c r="C39" s="15" t="s">
        <v>1</v>
      </c>
      <c r="D39" s="15" t="s">
        <v>2</v>
      </c>
      <c r="E39" s="15" t="s">
        <v>3</v>
      </c>
      <c r="F39" s="15" t="s">
        <v>4</v>
      </c>
      <c r="G39" s="15" t="s">
        <v>5</v>
      </c>
      <c r="H39" s="29">
        <f t="shared" ref="H39" ca="1" si="11">SomarCoresPlan3(G$64,C40:G40)</f>
        <v>9</v>
      </c>
    </row>
    <row r="40" spans="1:8" x14ac:dyDescent="0.25">
      <c r="A40" s="26"/>
      <c r="B40" s="28"/>
      <c r="C40" s="22"/>
      <c r="D40" s="22"/>
      <c r="E40" s="22"/>
      <c r="F40" s="22"/>
      <c r="G40" s="22"/>
      <c r="H40" s="30"/>
    </row>
    <row r="41" spans="1:8" x14ac:dyDescent="0.25">
      <c r="A41" s="16" t="s">
        <v>32</v>
      </c>
      <c r="B41" s="13"/>
      <c r="C41" s="13"/>
      <c r="D41" s="13"/>
      <c r="E41" s="13"/>
      <c r="F41" s="13"/>
      <c r="G41" s="13"/>
      <c r="H41" s="14"/>
    </row>
    <row r="42" spans="1:8" x14ac:dyDescent="0.25">
      <c r="A42" s="25" t="s">
        <v>25</v>
      </c>
      <c r="B42" s="27"/>
      <c r="C42" s="15" t="s">
        <v>1</v>
      </c>
      <c r="D42" s="15" t="s">
        <v>2</v>
      </c>
      <c r="E42" s="15" t="s">
        <v>3</v>
      </c>
      <c r="F42" s="15" t="s">
        <v>4</v>
      </c>
      <c r="G42" s="15" t="s">
        <v>5</v>
      </c>
      <c r="H42" s="29">
        <f t="shared" ref="H42" ca="1" si="12">SomarCoresPlan3(G$64,C43:G43)</f>
        <v>9</v>
      </c>
    </row>
    <row r="43" spans="1:8" x14ac:dyDescent="0.25">
      <c r="A43" s="26"/>
      <c r="B43" s="28"/>
      <c r="C43" s="22"/>
      <c r="D43" s="22"/>
      <c r="E43" s="22"/>
      <c r="F43" s="22"/>
      <c r="G43" s="22"/>
      <c r="H43" s="30"/>
    </row>
    <row r="44" spans="1:8" x14ac:dyDescent="0.25">
      <c r="A44" s="16" t="s">
        <v>32</v>
      </c>
      <c r="B44" s="13"/>
      <c r="C44" s="13"/>
      <c r="D44" s="13"/>
      <c r="E44" s="13"/>
      <c r="F44" s="13"/>
      <c r="G44" s="13"/>
      <c r="H44" s="14"/>
    </row>
    <row r="45" spans="1:8" x14ac:dyDescent="0.25">
      <c r="A45" s="25" t="s">
        <v>26</v>
      </c>
      <c r="B45" s="27"/>
      <c r="C45" s="15" t="s">
        <v>1</v>
      </c>
      <c r="D45" s="15" t="s">
        <v>2</v>
      </c>
      <c r="E45" s="15" t="s">
        <v>3</v>
      </c>
      <c r="F45" s="15" t="s">
        <v>4</v>
      </c>
      <c r="G45" s="15" t="s">
        <v>5</v>
      </c>
      <c r="H45" s="29">
        <f t="shared" ref="H45" ca="1" si="13">SomarCoresPlan3(G$64,C46:G46)</f>
        <v>9</v>
      </c>
    </row>
    <row r="46" spans="1:8" x14ac:dyDescent="0.25">
      <c r="A46" s="26"/>
      <c r="B46" s="28"/>
      <c r="C46" s="22"/>
      <c r="D46" s="22"/>
      <c r="E46" s="22"/>
      <c r="F46" s="22"/>
      <c r="G46" s="22"/>
      <c r="H46" s="30"/>
    </row>
    <row r="47" spans="1:8" x14ac:dyDescent="0.25">
      <c r="A47" s="16" t="s">
        <v>32</v>
      </c>
      <c r="B47" s="13"/>
      <c r="C47" s="13"/>
      <c r="D47" s="13"/>
      <c r="E47" s="13"/>
      <c r="F47" s="13"/>
      <c r="G47" s="13"/>
      <c r="H47" s="14"/>
    </row>
    <row r="48" spans="1:8" x14ac:dyDescent="0.25">
      <c r="A48" s="25" t="s">
        <v>27</v>
      </c>
      <c r="B48" s="27"/>
      <c r="C48" s="15" t="s">
        <v>1</v>
      </c>
      <c r="D48" s="15" t="s">
        <v>2</v>
      </c>
      <c r="E48" s="15" t="s">
        <v>3</v>
      </c>
      <c r="F48" s="15" t="s">
        <v>4</v>
      </c>
      <c r="G48" s="15" t="s">
        <v>5</v>
      </c>
      <c r="H48" s="29">
        <f t="shared" ref="H48" ca="1" si="14">SomarCoresPlan3(G$64,C49:G49)</f>
        <v>9</v>
      </c>
    </row>
    <row r="49" spans="1:8" x14ac:dyDescent="0.25">
      <c r="A49" s="26"/>
      <c r="B49" s="28"/>
      <c r="C49" s="22"/>
      <c r="D49" s="22"/>
      <c r="E49" s="22"/>
      <c r="F49" s="22"/>
      <c r="G49" s="22"/>
      <c r="H49" s="30"/>
    </row>
    <row r="50" spans="1:8" x14ac:dyDescent="0.25">
      <c r="A50" s="16" t="s">
        <v>32</v>
      </c>
      <c r="B50" s="13"/>
      <c r="C50" s="13"/>
      <c r="D50" s="13"/>
      <c r="E50" s="13"/>
      <c r="F50" s="13"/>
      <c r="G50" s="13"/>
      <c r="H50" s="14"/>
    </row>
    <row r="51" spans="1:8" x14ac:dyDescent="0.25">
      <c r="A51" s="25" t="s">
        <v>28</v>
      </c>
      <c r="B51" s="27"/>
      <c r="C51" s="15" t="s">
        <v>1</v>
      </c>
      <c r="D51" s="15" t="s">
        <v>2</v>
      </c>
      <c r="E51" s="15" t="s">
        <v>3</v>
      </c>
      <c r="F51" s="15" t="s">
        <v>4</v>
      </c>
      <c r="G51" s="15" t="s">
        <v>5</v>
      </c>
      <c r="H51" s="29">
        <f t="shared" ref="H51" ca="1" si="15">SomarCoresPlan3(G$64,C52:G52)</f>
        <v>9</v>
      </c>
    </row>
    <row r="52" spans="1:8" x14ac:dyDescent="0.25">
      <c r="A52" s="26"/>
      <c r="B52" s="28"/>
      <c r="C52" s="22"/>
      <c r="D52" s="22"/>
      <c r="E52" s="22"/>
      <c r="F52" s="22"/>
      <c r="G52" s="22"/>
      <c r="H52" s="30"/>
    </row>
    <row r="53" spans="1:8" x14ac:dyDescent="0.25">
      <c r="A53" s="16" t="s">
        <v>32</v>
      </c>
      <c r="B53" s="13"/>
      <c r="C53" s="13"/>
      <c r="D53" s="13"/>
      <c r="E53" s="13"/>
      <c r="F53" s="13"/>
      <c r="G53" s="13"/>
      <c r="H53" s="14"/>
    </row>
    <row r="54" spans="1:8" x14ac:dyDescent="0.25">
      <c r="A54" s="25" t="s">
        <v>29</v>
      </c>
      <c r="B54" s="27"/>
      <c r="C54" s="15" t="s">
        <v>1</v>
      </c>
      <c r="D54" s="15" t="s">
        <v>2</v>
      </c>
      <c r="E54" s="15" t="s">
        <v>3</v>
      </c>
      <c r="F54" s="15" t="s">
        <v>4</v>
      </c>
      <c r="G54" s="15" t="s">
        <v>5</v>
      </c>
      <c r="H54" s="29">
        <f t="shared" ref="H54" ca="1" si="16">SomarCoresPlan3(G$64,C55:G55)</f>
        <v>9</v>
      </c>
    </row>
    <row r="55" spans="1:8" x14ac:dyDescent="0.25">
      <c r="A55" s="26"/>
      <c r="B55" s="28"/>
      <c r="C55" s="22"/>
      <c r="D55" s="22"/>
      <c r="E55" s="22"/>
      <c r="F55" s="22"/>
      <c r="G55" s="22"/>
      <c r="H55" s="30"/>
    </row>
    <row r="56" spans="1:8" x14ac:dyDescent="0.25">
      <c r="A56" s="16" t="s">
        <v>32</v>
      </c>
      <c r="B56" s="13"/>
      <c r="C56" s="13"/>
      <c r="D56" s="13"/>
      <c r="E56" s="13"/>
      <c r="F56" s="13"/>
      <c r="G56" s="13"/>
      <c r="H56" s="14"/>
    </row>
    <row r="57" spans="1:8" x14ac:dyDescent="0.25">
      <c r="A57" s="25" t="s">
        <v>30</v>
      </c>
      <c r="B57" s="27"/>
      <c r="C57" s="15" t="s">
        <v>1</v>
      </c>
      <c r="D57" s="15" t="s">
        <v>2</v>
      </c>
      <c r="E57" s="15" t="s">
        <v>3</v>
      </c>
      <c r="F57" s="15" t="s">
        <v>4</v>
      </c>
      <c r="G57" s="15" t="s">
        <v>5</v>
      </c>
      <c r="H57" s="29">
        <f t="shared" ref="H57" ca="1" si="17">SomarCoresPlan3(G$64,C58:G58)</f>
        <v>9</v>
      </c>
    </row>
    <row r="58" spans="1:8" x14ac:dyDescent="0.25">
      <c r="A58" s="26"/>
      <c r="B58" s="28"/>
      <c r="C58" s="22"/>
      <c r="D58" s="22"/>
      <c r="E58" s="22"/>
      <c r="F58" s="22"/>
      <c r="G58" s="22"/>
      <c r="H58" s="30"/>
    </row>
    <row r="59" spans="1:8" x14ac:dyDescent="0.25">
      <c r="A59" s="16" t="s">
        <v>32</v>
      </c>
      <c r="B59" s="13"/>
      <c r="C59" s="13"/>
      <c r="D59" s="13"/>
      <c r="E59" s="13"/>
      <c r="F59" s="13"/>
      <c r="G59" s="13"/>
      <c r="H59" s="14"/>
    </row>
    <row r="60" spans="1:8" x14ac:dyDescent="0.25">
      <c r="A60" s="25" t="s">
        <v>31</v>
      </c>
      <c r="B60" s="27"/>
      <c r="C60" s="15" t="s">
        <v>1</v>
      </c>
      <c r="D60" s="15" t="s">
        <v>2</v>
      </c>
      <c r="E60" s="15" t="s">
        <v>3</v>
      </c>
      <c r="F60" s="15" t="s">
        <v>4</v>
      </c>
      <c r="G60" s="15" t="s">
        <v>5</v>
      </c>
      <c r="H60" s="29">
        <f t="shared" ref="H60" ca="1" si="18">SomarCoresPlan3(G$64,C61:G61)</f>
        <v>9</v>
      </c>
    </row>
    <row r="61" spans="1:8" x14ac:dyDescent="0.25">
      <c r="A61" s="26"/>
      <c r="B61" s="28"/>
      <c r="C61" s="22"/>
      <c r="D61" s="22"/>
      <c r="E61" s="22"/>
      <c r="F61" s="22"/>
      <c r="G61" s="22"/>
      <c r="H61" s="30"/>
    </row>
    <row r="62" spans="1:8" x14ac:dyDescent="0.25">
      <c r="A62" s="16" t="s">
        <v>32</v>
      </c>
      <c r="B62" s="13"/>
      <c r="C62" s="13"/>
      <c r="D62" s="13"/>
      <c r="E62" s="13"/>
      <c r="F62" s="13"/>
      <c r="G62" s="13"/>
      <c r="H62" s="14"/>
    </row>
    <row r="63" spans="1:8" ht="15" customHeight="1" x14ac:dyDescent="0.25">
      <c r="F63" s="34" t="s">
        <v>12</v>
      </c>
      <c r="G63" s="5"/>
      <c r="H63" s="10"/>
    </row>
    <row r="64" spans="1:8" x14ac:dyDescent="0.25">
      <c r="F64" s="35"/>
      <c r="G64" s="24"/>
      <c r="H64" s="1" t="s">
        <v>7</v>
      </c>
    </row>
    <row r="65" spans="6:8" x14ac:dyDescent="0.25">
      <c r="F65" s="35"/>
      <c r="G65" s="23"/>
      <c r="H65" s="1" t="s">
        <v>17</v>
      </c>
    </row>
    <row r="66" spans="6:8" x14ac:dyDescent="0.25">
      <c r="F66" s="36"/>
      <c r="G66" s="12"/>
      <c r="H66" s="11"/>
    </row>
  </sheetData>
  <sheetProtection algorithmName="SHA-512" hashValue="gO+eLMfgCq9KA9ozZUFfnbe9PWYpT8p3LVWeI1pzSOCOu94SOpYnbNyuTneifXJLdLlfhWfw78RgDdDMslicIA==" saltValue="dD+dQWvPwuPNQk6JD7iZCQ==" spinCount="100000" sheet="1" objects="1" scenarios="1" selectLockedCells="1"/>
  <mergeCells count="63">
    <mergeCell ref="A6:A7"/>
    <mergeCell ref="B6:B7"/>
    <mergeCell ref="H6:H7"/>
    <mergeCell ref="B1:H1"/>
    <mergeCell ref="C2:G2"/>
    <mergeCell ref="A3:A4"/>
    <mergeCell ref="B3:B4"/>
    <mergeCell ref="H3:H4"/>
    <mergeCell ref="A9:A10"/>
    <mergeCell ref="B9:B10"/>
    <mergeCell ref="H9:H10"/>
    <mergeCell ref="A12:A13"/>
    <mergeCell ref="B12:B13"/>
    <mergeCell ref="H12:H13"/>
    <mergeCell ref="A15:A16"/>
    <mergeCell ref="B15:B16"/>
    <mergeCell ref="H15:H16"/>
    <mergeCell ref="A18:A19"/>
    <mergeCell ref="B18:B19"/>
    <mergeCell ref="H18:H19"/>
    <mergeCell ref="A21:A22"/>
    <mergeCell ref="B21:B22"/>
    <mergeCell ref="H21:H22"/>
    <mergeCell ref="A24:A25"/>
    <mergeCell ref="B24:B25"/>
    <mergeCell ref="H24:H25"/>
    <mergeCell ref="A27:A28"/>
    <mergeCell ref="B27:B28"/>
    <mergeCell ref="H27:H28"/>
    <mergeCell ref="A30:A31"/>
    <mergeCell ref="B30:B31"/>
    <mergeCell ref="H30:H31"/>
    <mergeCell ref="A33:A34"/>
    <mergeCell ref="B33:B34"/>
    <mergeCell ref="H33:H34"/>
    <mergeCell ref="A36:A37"/>
    <mergeCell ref="B36:B37"/>
    <mergeCell ref="H36:H37"/>
    <mergeCell ref="A39:A40"/>
    <mergeCell ref="B39:B40"/>
    <mergeCell ref="H39:H40"/>
    <mergeCell ref="A42:A43"/>
    <mergeCell ref="B42:B43"/>
    <mergeCell ref="H42:H43"/>
    <mergeCell ref="A45:A46"/>
    <mergeCell ref="B45:B46"/>
    <mergeCell ref="H45:H46"/>
    <mergeCell ref="A48:A49"/>
    <mergeCell ref="B48:B49"/>
    <mergeCell ref="H48:H49"/>
    <mergeCell ref="A51:A52"/>
    <mergeCell ref="B51:B52"/>
    <mergeCell ref="H51:H52"/>
    <mergeCell ref="A54:A55"/>
    <mergeCell ref="B54:B55"/>
    <mergeCell ref="H54:H55"/>
    <mergeCell ref="F63:F66"/>
    <mergeCell ref="A57:A58"/>
    <mergeCell ref="B57:B58"/>
    <mergeCell ref="H57:H58"/>
    <mergeCell ref="A60:A61"/>
    <mergeCell ref="B60:B61"/>
    <mergeCell ref="H60:H61"/>
  </mergeCells>
  <conditionalFormatting sqref="H3:H4 H6:H7 H9:H10 H12:H13 H15:H16 H18:H19 H21:H22 H24:H25 H27:H28 H30:H31 H33:H34 H36:H37 H39:H40 H42:H43 H45:H46 H48:H49 H51:H52 H54:H55 H57:H58 H60:H61">
    <cfRule type="cellIs" dxfId="5" priority="1" operator="lessThanOrEqual">
      <formula>6.9</formula>
    </cfRule>
    <cfRule type="cellIs" dxfId="4" priority="2" stopIfTrue="1" operator="greaterThan">
      <formula>6.9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H66"/>
  <sheetViews>
    <sheetView topLeftCell="A44" workbookViewId="0">
      <selection activeCell="F63" sqref="F63:F66"/>
    </sheetView>
  </sheetViews>
  <sheetFormatPr defaultRowHeight="15" x14ac:dyDescent="0.25"/>
  <cols>
    <col min="1" max="1" width="2.85546875" customWidth="1"/>
    <col min="2" max="2" width="32.85546875" customWidth="1"/>
    <col min="3" max="7" width="2.85546875" customWidth="1"/>
    <col min="8" max="8" width="7.140625" customWidth="1"/>
  </cols>
  <sheetData>
    <row r="1" spans="1:8" ht="29.25" x14ac:dyDescent="0.25">
      <c r="A1" s="3">
        <v>42786</v>
      </c>
      <c r="B1" s="42" t="s">
        <v>33</v>
      </c>
      <c r="C1" s="43"/>
      <c r="D1" s="43"/>
      <c r="E1" s="43"/>
      <c r="F1" s="43"/>
      <c r="G1" s="43"/>
      <c r="H1" s="44"/>
    </row>
    <row r="2" spans="1:8" x14ac:dyDescent="0.25">
      <c r="A2" s="4" t="s">
        <v>8</v>
      </c>
      <c r="B2" s="4" t="s">
        <v>0</v>
      </c>
      <c r="C2" s="45" t="s">
        <v>9</v>
      </c>
      <c r="D2" s="45"/>
      <c r="E2" s="45"/>
      <c r="F2" s="45"/>
      <c r="G2" s="45"/>
      <c r="H2" s="2" t="s">
        <v>6</v>
      </c>
    </row>
    <row r="3" spans="1:8" x14ac:dyDescent="0.25">
      <c r="A3" s="25" t="s">
        <v>10</v>
      </c>
      <c r="B3" s="27"/>
      <c r="C3" s="15" t="s">
        <v>1</v>
      </c>
      <c r="D3" s="15" t="s">
        <v>2</v>
      </c>
      <c r="E3" s="15" t="s">
        <v>3</v>
      </c>
      <c r="F3" s="15" t="s">
        <v>4</v>
      </c>
      <c r="G3" s="15" t="s">
        <v>5</v>
      </c>
      <c r="H3" s="29">
        <f ca="1">SomarCoresPlan4(G$64,C4:G4)</f>
        <v>8.5</v>
      </c>
    </row>
    <row r="4" spans="1:8" x14ac:dyDescent="0.25">
      <c r="A4" s="26"/>
      <c r="B4" s="28"/>
      <c r="C4" s="22"/>
      <c r="D4" s="22"/>
      <c r="E4" s="22"/>
      <c r="F4" s="22"/>
      <c r="G4" s="22"/>
      <c r="H4" s="30"/>
    </row>
    <row r="5" spans="1:8" x14ac:dyDescent="0.25">
      <c r="A5" s="16" t="s">
        <v>32</v>
      </c>
      <c r="B5" s="13"/>
      <c r="C5" s="13"/>
      <c r="D5" s="13"/>
      <c r="E5" s="13"/>
      <c r="F5" s="13"/>
      <c r="G5" s="13"/>
      <c r="H5" s="14"/>
    </row>
    <row r="6" spans="1:8" x14ac:dyDescent="0.25">
      <c r="A6" s="25" t="s">
        <v>11</v>
      </c>
      <c r="B6" s="27"/>
      <c r="C6" s="15" t="s">
        <v>1</v>
      </c>
      <c r="D6" s="15" t="s">
        <v>2</v>
      </c>
      <c r="E6" s="15" t="s">
        <v>3</v>
      </c>
      <c r="F6" s="15" t="s">
        <v>4</v>
      </c>
      <c r="G6" s="15" t="s">
        <v>5</v>
      </c>
      <c r="H6" s="29">
        <f t="shared" ref="H6" ca="1" si="0">SomarCoresPlan4(G$64,C7:G7)</f>
        <v>8.5</v>
      </c>
    </row>
    <row r="7" spans="1:8" x14ac:dyDescent="0.25">
      <c r="A7" s="26"/>
      <c r="B7" s="28"/>
      <c r="C7" s="22"/>
      <c r="D7" s="22"/>
      <c r="E7" s="22"/>
      <c r="F7" s="22"/>
      <c r="G7" s="22"/>
      <c r="H7" s="30"/>
    </row>
    <row r="8" spans="1:8" x14ac:dyDescent="0.25">
      <c r="A8" s="16" t="s">
        <v>32</v>
      </c>
      <c r="B8" s="13"/>
      <c r="C8" s="13"/>
      <c r="D8" s="13"/>
      <c r="E8" s="13"/>
      <c r="F8" s="13"/>
      <c r="G8" s="13"/>
      <c r="H8" s="14"/>
    </row>
    <row r="9" spans="1:8" x14ac:dyDescent="0.25">
      <c r="A9" s="25" t="s">
        <v>13</v>
      </c>
      <c r="B9" s="27"/>
      <c r="C9" s="15" t="s">
        <v>1</v>
      </c>
      <c r="D9" s="15" t="s">
        <v>2</v>
      </c>
      <c r="E9" s="15" t="s">
        <v>3</v>
      </c>
      <c r="F9" s="15" t="s">
        <v>4</v>
      </c>
      <c r="G9" s="15" t="s">
        <v>5</v>
      </c>
      <c r="H9" s="29">
        <f t="shared" ref="H9" ca="1" si="1">SomarCoresPlan4(G$64,C10:G10)</f>
        <v>8.5</v>
      </c>
    </row>
    <row r="10" spans="1:8" x14ac:dyDescent="0.25">
      <c r="A10" s="26"/>
      <c r="B10" s="28"/>
      <c r="C10" s="22"/>
      <c r="D10" s="22"/>
      <c r="E10" s="22"/>
      <c r="F10" s="22"/>
      <c r="G10" s="22"/>
      <c r="H10" s="30"/>
    </row>
    <row r="11" spans="1:8" x14ac:dyDescent="0.25">
      <c r="A11" s="16" t="s">
        <v>32</v>
      </c>
      <c r="B11" s="13"/>
      <c r="C11" s="13"/>
      <c r="D11" s="13"/>
      <c r="E11" s="13"/>
      <c r="F11" s="13"/>
      <c r="G11" s="13"/>
      <c r="H11" s="14"/>
    </row>
    <row r="12" spans="1:8" x14ac:dyDescent="0.25">
      <c r="A12" s="25" t="s">
        <v>14</v>
      </c>
      <c r="B12" s="27"/>
      <c r="C12" s="15" t="s">
        <v>1</v>
      </c>
      <c r="D12" s="15" t="s">
        <v>2</v>
      </c>
      <c r="E12" s="15" t="s">
        <v>3</v>
      </c>
      <c r="F12" s="15" t="s">
        <v>4</v>
      </c>
      <c r="G12" s="15" t="s">
        <v>5</v>
      </c>
      <c r="H12" s="29">
        <f t="shared" ref="H12" ca="1" si="2">SomarCoresPlan4(G$64,C13:G13)</f>
        <v>8.5</v>
      </c>
    </row>
    <row r="13" spans="1:8" x14ac:dyDescent="0.25">
      <c r="A13" s="26"/>
      <c r="B13" s="28"/>
      <c r="C13" s="22"/>
      <c r="D13" s="22"/>
      <c r="E13" s="22"/>
      <c r="F13" s="22"/>
      <c r="G13" s="22"/>
      <c r="H13" s="30"/>
    </row>
    <row r="14" spans="1:8" x14ac:dyDescent="0.25">
      <c r="A14" s="16" t="s">
        <v>32</v>
      </c>
      <c r="B14" s="13"/>
      <c r="C14" s="13"/>
      <c r="D14" s="13"/>
      <c r="E14" s="13"/>
      <c r="F14" s="13"/>
      <c r="G14" s="13"/>
      <c r="H14" s="14"/>
    </row>
    <row r="15" spans="1:8" x14ac:dyDescent="0.25">
      <c r="A15" s="25" t="s">
        <v>15</v>
      </c>
      <c r="B15" s="27"/>
      <c r="C15" s="15" t="s">
        <v>1</v>
      </c>
      <c r="D15" s="15" t="s">
        <v>2</v>
      </c>
      <c r="E15" s="15" t="s">
        <v>3</v>
      </c>
      <c r="F15" s="15" t="s">
        <v>4</v>
      </c>
      <c r="G15" s="15" t="s">
        <v>5</v>
      </c>
      <c r="H15" s="29">
        <f t="shared" ref="H15" ca="1" si="3">SomarCoresPlan4(G$64,C16:G16)</f>
        <v>8.5</v>
      </c>
    </row>
    <row r="16" spans="1:8" x14ac:dyDescent="0.25">
      <c r="A16" s="26"/>
      <c r="B16" s="28"/>
      <c r="C16" s="22"/>
      <c r="D16" s="22"/>
      <c r="E16" s="22"/>
      <c r="F16" s="22"/>
      <c r="G16" s="22"/>
      <c r="H16" s="30"/>
    </row>
    <row r="17" spans="1:8" x14ac:dyDescent="0.25">
      <c r="A17" s="16" t="s">
        <v>32</v>
      </c>
      <c r="B17" s="13"/>
      <c r="C17" s="13"/>
      <c r="D17" s="13"/>
      <c r="E17" s="13"/>
      <c r="F17" s="13"/>
      <c r="G17" s="13"/>
      <c r="H17" s="14"/>
    </row>
    <row r="18" spans="1:8" x14ac:dyDescent="0.25">
      <c r="A18" s="25" t="s">
        <v>16</v>
      </c>
      <c r="B18" s="27"/>
      <c r="C18" s="15" t="s">
        <v>1</v>
      </c>
      <c r="D18" s="15" t="s">
        <v>2</v>
      </c>
      <c r="E18" s="15" t="s">
        <v>3</v>
      </c>
      <c r="F18" s="15" t="s">
        <v>4</v>
      </c>
      <c r="G18" s="15" t="s">
        <v>5</v>
      </c>
      <c r="H18" s="29">
        <f t="shared" ref="H18" ca="1" si="4">SomarCoresPlan4(G$64,C19:G19)</f>
        <v>8.5</v>
      </c>
    </row>
    <row r="19" spans="1:8" x14ac:dyDescent="0.25">
      <c r="A19" s="26"/>
      <c r="B19" s="28"/>
      <c r="C19" s="22"/>
      <c r="D19" s="22"/>
      <c r="E19" s="22"/>
      <c r="F19" s="22"/>
      <c r="G19" s="22"/>
      <c r="H19" s="30"/>
    </row>
    <row r="20" spans="1:8" x14ac:dyDescent="0.25">
      <c r="A20" s="16" t="s">
        <v>32</v>
      </c>
      <c r="B20" s="13"/>
      <c r="C20" s="13"/>
      <c r="D20" s="13"/>
      <c r="E20" s="13"/>
      <c r="F20" s="13"/>
      <c r="G20" s="13"/>
      <c r="H20" s="14"/>
    </row>
    <row r="21" spans="1:8" x14ac:dyDescent="0.25">
      <c r="A21" s="25" t="s">
        <v>18</v>
      </c>
      <c r="B21" s="27"/>
      <c r="C21" s="15" t="s">
        <v>1</v>
      </c>
      <c r="D21" s="15" t="s">
        <v>2</v>
      </c>
      <c r="E21" s="15" t="s">
        <v>3</v>
      </c>
      <c r="F21" s="15" t="s">
        <v>4</v>
      </c>
      <c r="G21" s="15" t="s">
        <v>5</v>
      </c>
      <c r="H21" s="29">
        <f t="shared" ref="H21" ca="1" si="5">SomarCoresPlan4(G$64,C22:G22)</f>
        <v>8.5</v>
      </c>
    </row>
    <row r="22" spans="1:8" x14ac:dyDescent="0.25">
      <c r="A22" s="26"/>
      <c r="B22" s="28"/>
      <c r="C22" s="22"/>
      <c r="D22" s="22"/>
      <c r="E22" s="22"/>
      <c r="F22" s="22"/>
      <c r="G22" s="22"/>
      <c r="H22" s="30"/>
    </row>
    <row r="23" spans="1:8" x14ac:dyDescent="0.25">
      <c r="A23" s="16" t="s">
        <v>32</v>
      </c>
      <c r="B23" s="13"/>
      <c r="C23" s="13"/>
      <c r="D23" s="13"/>
      <c r="E23" s="13"/>
      <c r="F23" s="13"/>
      <c r="G23" s="13"/>
      <c r="H23" s="14"/>
    </row>
    <row r="24" spans="1:8" x14ac:dyDescent="0.25">
      <c r="A24" s="25" t="s">
        <v>19</v>
      </c>
      <c r="B24" s="27"/>
      <c r="C24" s="15" t="s">
        <v>1</v>
      </c>
      <c r="D24" s="15" t="s">
        <v>2</v>
      </c>
      <c r="E24" s="15" t="s">
        <v>3</v>
      </c>
      <c r="F24" s="15" t="s">
        <v>4</v>
      </c>
      <c r="G24" s="15" t="s">
        <v>5</v>
      </c>
      <c r="H24" s="29">
        <f t="shared" ref="H24" ca="1" si="6">SomarCoresPlan4(G$64,C25:G25)</f>
        <v>8.5</v>
      </c>
    </row>
    <row r="25" spans="1:8" x14ac:dyDescent="0.25">
      <c r="A25" s="26"/>
      <c r="B25" s="28"/>
      <c r="C25" s="22"/>
      <c r="D25" s="22"/>
      <c r="E25" s="22"/>
      <c r="F25" s="22"/>
      <c r="G25" s="22"/>
      <c r="H25" s="30"/>
    </row>
    <row r="26" spans="1:8" x14ac:dyDescent="0.25">
      <c r="A26" s="16" t="s">
        <v>32</v>
      </c>
      <c r="B26" s="13"/>
      <c r="C26" s="13"/>
      <c r="D26" s="13"/>
      <c r="E26" s="13"/>
      <c r="F26" s="13"/>
      <c r="G26" s="13"/>
      <c r="H26" s="14"/>
    </row>
    <row r="27" spans="1:8" x14ac:dyDescent="0.25">
      <c r="A27" s="25" t="s">
        <v>20</v>
      </c>
      <c r="B27" s="27"/>
      <c r="C27" s="15" t="s">
        <v>1</v>
      </c>
      <c r="D27" s="15" t="s">
        <v>2</v>
      </c>
      <c r="E27" s="15" t="s">
        <v>3</v>
      </c>
      <c r="F27" s="15" t="s">
        <v>4</v>
      </c>
      <c r="G27" s="15" t="s">
        <v>5</v>
      </c>
      <c r="H27" s="29">
        <f t="shared" ref="H27" ca="1" si="7">SomarCoresPlan4(G$64,C28:G28)</f>
        <v>8.5</v>
      </c>
    </row>
    <row r="28" spans="1:8" x14ac:dyDescent="0.25">
      <c r="A28" s="26"/>
      <c r="B28" s="28"/>
      <c r="C28" s="22"/>
      <c r="D28" s="22"/>
      <c r="E28" s="22"/>
      <c r="F28" s="22"/>
      <c r="G28" s="22"/>
      <c r="H28" s="30"/>
    </row>
    <row r="29" spans="1:8" x14ac:dyDescent="0.25">
      <c r="A29" s="16" t="s">
        <v>32</v>
      </c>
      <c r="B29" s="13"/>
      <c r="C29" s="13"/>
      <c r="D29" s="13"/>
      <c r="E29" s="13"/>
      <c r="F29" s="13"/>
      <c r="G29" s="13"/>
      <c r="H29" s="14"/>
    </row>
    <row r="30" spans="1:8" x14ac:dyDescent="0.25">
      <c r="A30" s="25" t="s">
        <v>21</v>
      </c>
      <c r="B30" s="27"/>
      <c r="C30" s="15" t="s">
        <v>1</v>
      </c>
      <c r="D30" s="15" t="s">
        <v>2</v>
      </c>
      <c r="E30" s="15" t="s">
        <v>3</v>
      </c>
      <c r="F30" s="15" t="s">
        <v>4</v>
      </c>
      <c r="G30" s="15" t="s">
        <v>5</v>
      </c>
      <c r="H30" s="29">
        <f t="shared" ref="H30" ca="1" si="8">SomarCoresPlan4(G$64,C31:G31)</f>
        <v>8.5</v>
      </c>
    </row>
    <row r="31" spans="1:8" x14ac:dyDescent="0.25">
      <c r="A31" s="26"/>
      <c r="B31" s="28"/>
      <c r="C31" s="22"/>
      <c r="D31" s="22"/>
      <c r="E31" s="22"/>
      <c r="F31" s="22"/>
      <c r="G31" s="22"/>
      <c r="H31" s="30"/>
    </row>
    <row r="32" spans="1:8" x14ac:dyDescent="0.25">
      <c r="A32" s="16" t="s">
        <v>32</v>
      </c>
      <c r="B32" s="13"/>
      <c r="C32" s="13"/>
      <c r="D32" s="13"/>
      <c r="E32" s="13"/>
      <c r="F32" s="13"/>
      <c r="G32" s="13"/>
      <c r="H32" s="14"/>
    </row>
    <row r="33" spans="1:8" x14ac:dyDescent="0.25">
      <c r="A33" s="25" t="s">
        <v>22</v>
      </c>
      <c r="B33" s="27"/>
      <c r="C33" s="15" t="s">
        <v>1</v>
      </c>
      <c r="D33" s="15" t="s">
        <v>2</v>
      </c>
      <c r="E33" s="15" t="s">
        <v>3</v>
      </c>
      <c r="F33" s="15" t="s">
        <v>4</v>
      </c>
      <c r="G33" s="15" t="s">
        <v>5</v>
      </c>
      <c r="H33" s="29">
        <f t="shared" ref="H33" ca="1" si="9">SomarCoresPlan4(G$64,C34:G34)</f>
        <v>8.5</v>
      </c>
    </row>
    <row r="34" spans="1:8" x14ac:dyDescent="0.25">
      <c r="A34" s="26"/>
      <c r="B34" s="28"/>
      <c r="C34" s="22"/>
      <c r="D34" s="22"/>
      <c r="E34" s="22"/>
      <c r="F34" s="22"/>
      <c r="G34" s="22"/>
      <c r="H34" s="30"/>
    </row>
    <row r="35" spans="1:8" x14ac:dyDescent="0.25">
      <c r="A35" s="16" t="s">
        <v>32</v>
      </c>
      <c r="B35" s="13"/>
      <c r="C35" s="13"/>
      <c r="D35" s="13"/>
      <c r="E35" s="13"/>
      <c r="F35" s="13"/>
      <c r="G35" s="13"/>
      <c r="H35" s="14"/>
    </row>
    <row r="36" spans="1:8" x14ac:dyDescent="0.25">
      <c r="A36" s="25" t="s">
        <v>23</v>
      </c>
      <c r="B36" s="27"/>
      <c r="C36" s="15" t="s">
        <v>1</v>
      </c>
      <c r="D36" s="15" t="s">
        <v>2</v>
      </c>
      <c r="E36" s="15" t="s">
        <v>3</v>
      </c>
      <c r="F36" s="15" t="s">
        <v>4</v>
      </c>
      <c r="G36" s="15" t="s">
        <v>5</v>
      </c>
      <c r="H36" s="29">
        <f t="shared" ref="H36" ca="1" si="10">SomarCoresPlan4(G$64,C37:G37)</f>
        <v>8.5</v>
      </c>
    </row>
    <row r="37" spans="1:8" x14ac:dyDescent="0.25">
      <c r="A37" s="26"/>
      <c r="B37" s="28"/>
      <c r="C37" s="22"/>
      <c r="D37" s="22"/>
      <c r="E37" s="22"/>
      <c r="F37" s="22"/>
      <c r="G37" s="22"/>
      <c r="H37" s="30"/>
    </row>
    <row r="38" spans="1:8" x14ac:dyDescent="0.25">
      <c r="A38" s="16" t="s">
        <v>32</v>
      </c>
      <c r="B38" s="13"/>
      <c r="C38" s="13"/>
      <c r="D38" s="13"/>
      <c r="E38" s="13"/>
      <c r="F38" s="13"/>
      <c r="G38" s="13"/>
      <c r="H38" s="14"/>
    </row>
    <row r="39" spans="1:8" x14ac:dyDescent="0.25">
      <c r="A39" s="25" t="s">
        <v>24</v>
      </c>
      <c r="B39" s="27"/>
      <c r="C39" s="15" t="s">
        <v>1</v>
      </c>
      <c r="D39" s="15" t="s">
        <v>2</v>
      </c>
      <c r="E39" s="15" t="s">
        <v>3</v>
      </c>
      <c r="F39" s="15" t="s">
        <v>4</v>
      </c>
      <c r="G39" s="15" t="s">
        <v>5</v>
      </c>
      <c r="H39" s="29">
        <f t="shared" ref="H39" ca="1" si="11">SomarCoresPlan4(G$64,C40:G40)</f>
        <v>8.5</v>
      </c>
    </row>
    <row r="40" spans="1:8" x14ac:dyDescent="0.25">
      <c r="A40" s="26"/>
      <c r="B40" s="28"/>
      <c r="C40" s="22"/>
      <c r="D40" s="22"/>
      <c r="E40" s="22"/>
      <c r="F40" s="22"/>
      <c r="G40" s="22"/>
      <c r="H40" s="30"/>
    </row>
    <row r="41" spans="1:8" x14ac:dyDescent="0.25">
      <c r="A41" s="16" t="s">
        <v>32</v>
      </c>
      <c r="B41" s="13"/>
      <c r="C41" s="13"/>
      <c r="D41" s="13"/>
      <c r="E41" s="13"/>
      <c r="F41" s="13"/>
      <c r="G41" s="13"/>
      <c r="H41" s="14"/>
    </row>
    <row r="42" spans="1:8" x14ac:dyDescent="0.25">
      <c r="A42" s="25" t="s">
        <v>25</v>
      </c>
      <c r="B42" s="27"/>
      <c r="C42" s="15" t="s">
        <v>1</v>
      </c>
      <c r="D42" s="15" t="s">
        <v>2</v>
      </c>
      <c r="E42" s="15" t="s">
        <v>3</v>
      </c>
      <c r="F42" s="15" t="s">
        <v>4</v>
      </c>
      <c r="G42" s="15" t="s">
        <v>5</v>
      </c>
      <c r="H42" s="29">
        <f t="shared" ref="H42" ca="1" si="12">SomarCoresPlan4(G$64,C43:G43)</f>
        <v>8.5</v>
      </c>
    </row>
    <row r="43" spans="1:8" x14ac:dyDescent="0.25">
      <c r="A43" s="26"/>
      <c r="B43" s="28"/>
      <c r="C43" s="22"/>
      <c r="D43" s="22"/>
      <c r="E43" s="22"/>
      <c r="F43" s="22"/>
      <c r="G43" s="22"/>
      <c r="H43" s="30"/>
    </row>
    <row r="44" spans="1:8" x14ac:dyDescent="0.25">
      <c r="A44" s="16" t="s">
        <v>32</v>
      </c>
      <c r="B44" s="13"/>
      <c r="C44" s="13"/>
      <c r="D44" s="13"/>
      <c r="E44" s="13"/>
      <c r="F44" s="13"/>
      <c r="G44" s="13"/>
      <c r="H44" s="14"/>
    </row>
    <row r="45" spans="1:8" x14ac:dyDescent="0.25">
      <c r="A45" s="25" t="s">
        <v>26</v>
      </c>
      <c r="B45" s="27"/>
      <c r="C45" s="15" t="s">
        <v>1</v>
      </c>
      <c r="D45" s="15" t="s">
        <v>2</v>
      </c>
      <c r="E45" s="15" t="s">
        <v>3</v>
      </c>
      <c r="F45" s="15" t="s">
        <v>4</v>
      </c>
      <c r="G45" s="15" t="s">
        <v>5</v>
      </c>
      <c r="H45" s="29">
        <f t="shared" ref="H45" ca="1" si="13">SomarCoresPlan4(G$64,C46:G46)</f>
        <v>8.5</v>
      </c>
    </row>
    <row r="46" spans="1:8" x14ac:dyDescent="0.25">
      <c r="A46" s="26"/>
      <c r="B46" s="28"/>
      <c r="C46" s="22"/>
      <c r="D46" s="22"/>
      <c r="E46" s="22"/>
      <c r="F46" s="22"/>
      <c r="G46" s="22"/>
      <c r="H46" s="30"/>
    </row>
    <row r="47" spans="1:8" x14ac:dyDescent="0.25">
      <c r="A47" s="16" t="s">
        <v>32</v>
      </c>
      <c r="B47" s="13"/>
      <c r="C47" s="13"/>
      <c r="D47" s="13"/>
      <c r="E47" s="13"/>
      <c r="F47" s="13"/>
      <c r="G47" s="13"/>
      <c r="H47" s="14"/>
    </row>
    <row r="48" spans="1:8" x14ac:dyDescent="0.25">
      <c r="A48" s="25" t="s">
        <v>27</v>
      </c>
      <c r="B48" s="27"/>
      <c r="C48" s="15" t="s">
        <v>1</v>
      </c>
      <c r="D48" s="15" t="s">
        <v>2</v>
      </c>
      <c r="E48" s="15" t="s">
        <v>3</v>
      </c>
      <c r="F48" s="15" t="s">
        <v>4</v>
      </c>
      <c r="G48" s="15" t="s">
        <v>5</v>
      </c>
      <c r="H48" s="29">
        <f t="shared" ref="H48" ca="1" si="14">SomarCoresPlan4(G$64,C49:G49)</f>
        <v>8.5</v>
      </c>
    </row>
    <row r="49" spans="1:8" x14ac:dyDescent="0.25">
      <c r="A49" s="26"/>
      <c r="B49" s="28"/>
      <c r="C49" s="22"/>
      <c r="D49" s="22"/>
      <c r="E49" s="22"/>
      <c r="F49" s="22"/>
      <c r="G49" s="22"/>
      <c r="H49" s="30"/>
    </row>
    <row r="50" spans="1:8" x14ac:dyDescent="0.25">
      <c r="A50" s="16" t="s">
        <v>32</v>
      </c>
      <c r="B50" s="13"/>
      <c r="C50" s="13"/>
      <c r="D50" s="13"/>
      <c r="E50" s="13"/>
      <c r="F50" s="13"/>
      <c r="G50" s="13"/>
      <c r="H50" s="14"/>
    </row>
    <row r="51" spans="1:8" x14ac:dyDescent="0.25">
      <c r="A51" s="25" t="s">
        <v>28</v>
      </c>
      <c r="B51" s="27"/>
      <c r="C51" s="15" t="s">
        <v>1</v>
      </c>
      <c r="D51" s="15" t="s">
        <v>2</v>
      </c>
      <c r="E51" s="15" t="s">
        <v>3</v>
      </c>
      <c r="F51" s="15" t="s">
        <v>4</v>
      </c>
      <c r="G51" s="15" t="s">
        <v>5</v>
      </c>
      <c r="H51" s="29">
        <f t="shared" ref="H51" ca="1" si="15">SomarCoresPlan4(G$64,C52:G52)</f>
        <v>8.5</v>
      </c>
    </row>
    <row r="52" spans="1:8" x14ac:dyDescent="0.25">
      <c r="A52" s="26"/>
      <c r="B52" s="28"/>
      <c r="C52" s="22"/>
      <c r="D52" s="22"/>
      <c r="E52" s="22"/>
      <c r="F52" s="22"/>
      <c r="G52" s="22"/>
      <c r="H52" s="30"/>
    </row>
    <row r="53" spans="1:8" x14ac:dyDescent="0.25">
      <c r="A53" s="16" t="s">
        <v>32</v>
      </c>
      <c r="B53" s="13"/>
      <c r="C53" s="13"/>
      <c r="D53" s="13"/>
      <c r="E53" s="13"/>
      <c r="F53" s="13"/>
      <c r="G53" s="13"/>
      <c r="H53" s="14"/>
    </row>
    <row r="54" spans="1:8" x14ac:dyDescent="0.25">
      <c r="A54" s="25" t="s">
        <v>29</v>
      </c>
      <c r="B54" s="27"/>
      <c r="C54" s="15" t="s">
        <v>1</v>
      </c>
      <c r="D54" s="15" t="s">
        <v>2</v>
      </c>
      <c r="E54" s="15" t="s">
        <v>3</v>
      </c>
      <c r="F54" s="15" t="s">
        <v>4</v>
      </c>
      <c r="G54" s="15" t="s">
        <v>5</v>
      </c>
      <c r="H54" s="29">
        <f t="shared" ref="H54" ca="1" si="16">SomarCoresPlan4(G$64,C55:G55)</f>
        <v>8.5</v>
      </c>
    </row>
    <row r="55" spans="1:8" x14ac:dyDescent="0.25">
      <c r="A55" s="26"/>
      <c r="B55" s="28"/>
      <c r="C55" s="22"/>
      <c r="D55" s="22"/>
      <c r="E55" s="22"/>
      <c r="F55" s="22"/>
      <c r="G55" s="22"/>
      <c r="H55" s="30"/>
    </row>
    <row r="56" spans="1:8" x14ac:dyDescent="0.25">
      <c r="A56" s="16" t="s">
        <v>32</v>
      </c>
      <c r="B56" s="13"/>
      <c r="C56" s="13"/>
      <c r="D56" s="13"/>
      <c r="E56" s="13"/>
      <c r="F56" s="13"/>
      <c r="G56" s="13"/>
      <c r="H56" s="14"/>
    </row>
    <row r="57" spans="1:8" x14ac:dyDescent="0.25">
      <c r="A57" s="25" t="s">
        <v>30</v>
      </c>
      <c r="B57" s="27"/>
      <c r="C57" s="15" t="s">
        <v>1</v>
      </c>
      <c r="D57" s="15" t="s">
        <v>2</v>
      </c>
      <c r="E57" s="15" t="s">
        <v>3</v>
      </c>
      <c r="F57" s="15" t="s">
        <v>4</v>
      </c>
      <c r="G57" s="15" t="s">
        <v>5</v>
      </c>
      <c r="H57" s="29">
        <f t="shared" ref="H57" ca="1" si="17">SomarCoresPlan4(G$64,C58:G58)</f>
        <v>8.5</v>
      </c>
    </row>
    <row r="58" spans="1:8" x14ac:dyDescent="0.25">
      <c r="A58" s="26"/>
      <c r="B58" s="28"/>
      <c r="C58" s="22"/>
      <c r="D58" s="22"/>
      <c r="E58" s="22"/>
      <c r="F58" s="22"/>
      <c r="G58" s="22"/>
      <c r="H58" s="30"/>
    </row>
    <row r="59" spans="1:8" x14ac:dyDescent="0.25">
      <c r="A59" s="16" t="s">
        <v>32</v>
      </c>
      <c r="B59" s="13"/>
      <c r="C59" s="13"/>
      <c r="D59" s="13"/>
      <c r="E59" s="13"/>
      <c r="F59" s="13"/>
      <c r="G59" s="13"/>
      <c r="H59" s="14"/>
    </row>
    <row r="60" spans="1:8" x14ac:dyDescent="0.25">
      <c r="A60" s="25" t="s">
        <v>31</v>
      </c>
      <c r="B60" s="27"/>
      <c r="C60" s="15" t="s">
        <v>1</v>
      </c>
      <c r="D60" s="15" t="s">
        <v>2</v>
      </c>
      <c r="E60" s="15" t="s">
        <v>3</v>
      </c>
      <c r="F60" s="15" t="s">
        <v>4</v>
      </c>
      <c r="G60" s="15" t="s">
        <v>5</v>
      </c>
      <c r="H60" s="29">
        <f t="shared" ref="H60" ca="1" si="18">SomarCoresPlan4(G$64,C61:G61)</f>
        <v>8.5</v>
      </c>
    </row>
    <row r="61" spans="1:8" x14ac:dyDescent="0.25">
      <c r="A61" s="26"/>
      <c r="B61" s="28"/>
      <c r="C61" s="22"/>
      <c r="D61" s="22"/>
      <c r="E61" s="22"/>
      <c r="F61" s="22"/>
      <c r="G61" s="22"/>
      <c r="H61" s="30"/>
    </row>
    <row r="62" spans="1:8" x14ac:dyDescent="0.25">
      <c r="A62" s="16" t="s">
        <v>32</v>
      </c>
      <c r="B62" s="13"/>
      <c r="C62" s="13"/>
      <c r="D62" s="13"/>
      <c r="E62" s="13"/>
      <c r="F62" s="13"/>
      <c r="G62" s="13"/>
      <c r="H62" s="14"/>
    </row>
    <row r="63" spans="1:8" ht="15" customHeight="1" x14ac:dyDescent="0.25">
      <c r="F63" s="34" t="s">
        <v>12</v>
      </c>
      <c r="G63" s="5"/>
      <c r="H63" s="10"/>
    </row>
    <row r="64" spans="1:8" x14ac:dyDescent="0.25">
      <c r="F64" s="35"/>
      <c r="G64" s="24"/>
      <c r="H64" s="1" t="s">
        <v>7</v>
      </c>
    </row>
    <row r="65" spans="6:8" x14ac:dyDescent="0.25">
      <c r="F65" s="35"/>
      <c r="G65" s="23"/>
      <c r="H65" s="1" t="s">
        <v>17</v>
      </c>
    </row>
    <row r="66" spans="6:8" x14ac:dyDescent="0.25">
      <c r="F66" s="36"/>
      <c r="G66" s="12"/>
      <c r="H66" s="11"/>
    </row>
  </sheetData>
  <sheetProtection algorithmName="SHA-512" hashValue="NUv1J3DJKWhizWTmpxTS/LjSZzh4lk0rhmSBovFxm+TQyaUd9tI8uzF6MTKjyRqJQmBS2QlMJLowDZWLpZ/21w==" saltValue="o0Q5MiHPMbdTUYz7g2MMxA==" spinCount="100000" sheet="1" objects="1" scenarios="1" selectLockedCells="1"/>
  <mergeCells count="63">
    <mergeCell ref="A6:A7"/>
    <mergeCell ref="B6:B7"/>
    <mergeCell ref="H6:H7"/>
    <mergeCell ref="B1:H1"/>
    <mergeCell ref="C2:G2"/>
    <mergeCell ref="A3:A4"/>
    <mergeCell ref="B3:B4"/>
    <mergeCell ref="H3:H4"/>
    <mergeCell ref="A9:A10"/>
    <mergeCell ref="B9:B10"/>
    <mergeCell ref="H9:H10"/>
    <mergeCell ref="A12:A13"/>
    <mergeCell ref="B12:B13"/>
    <mergeCell ref="H12:H13"/>
    <mergeCell ref="A15:A16"/>
    <mergeCell ref="B15:B16"/>
    <mergeCell ref="H15:H16"/>
    <mergeCell ref="A18:A19"/>
    <mergeCell ref="B18:B19"/>
    <mergeCell ref="H18:H19"/>
    <mergeCell ref="A21:A22"/>
    <mergeCell ref="B21:B22"/>
    <mergeCell ref="H21:H22"/>
    <mergeCell ref="A24:A25"/>
    <mergeCell ref="B24:B25"/>
    <mergeCell ref="H24:H25"/>
    <mergeCell ref="A27:A28"/>
    <mergeCell ref="B27:B28"/>
    <mergeCell ref="H27:H28"/>
    <mergeCell ref="A30:A31"/>
    <mergeCell ref="B30:B31"/>
    <mergeCell ref="H30:H31"/>
    <mergeCell ref="A33:A34"/>
    <mergeCell ref="B33:B34"/>
    <mergeCell ref="H33:H34"/>
    <mergeCell ref="A36:A37"/>
    <mergeCell ref="B36:B37"/>
    <mergeCell ref="H36:H37"/>
    <mergeCell ref="A39:A40"/>
    <mergeCell ref="B39:B40"/>
    <mergeCell ref="H39:H40"/>
    <mergeCell ref="A42:A43"/>
    <mergeCell ref="B42:B43"/>
    <mergeCell ref="H42:H43"/>
    <mergeCell ref="A45:A46"/>
    <mergeCell ref="B45:B46"/>
    <mergeCell ref="H45:H46"/>
    <mergeCell ref="A48:A49"/>
    <mergeCell ref="B48:B49"/>
    <mergeCell ref="H48:H49"/>
    <mergeCell ref="A51:A52"/>
    <mergeCell ref="B51:B52"/>
    <mergeCell ref="H51:H52"/>
    <mergeCell ref="A54:A55"/>
    <mergeCell ref="B54:B55"/>
    <mergeCell ref="H54:H55"/>
    <mergeCell ref="F63:F66"/>
    <mergeCell ref="A57:A58"/>
    <mergeCell ref="B57:B58"/>
    <mergeCell ref="H57:H58"/>
    <mergeCell ref="A60:A61"/>
    <mergeCell ref="B60:B61"/>
    <mergeCell ref="H60:H61"/>
  </mergeCells>
  <conditionalFormatting sqref="H3:H4 H6:H7 H9:H10 H12:H13 H15:H16 H18:H19 H21:H22 H24:H25 H27:H28 H30:H31 H33:H34 H36:H37 H39:H40 H42:H43 H45:H46 H48:H49 H51:H52 H54:H55 H57:H58 H60:H61">
    <cfRule type="cellIs" dxfId="3" priority="1" operator="lessThanOrEqual">
      <formula>6.9</formula>
    </cfRule>
    <cfRule type="cellIs" dxfId="2" priority="2" stopIfTrue="1" operator="greaterThan">
      <formula>6.9</formula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H66"/>
  <sheetViews>
    <sheetView topLeftCell="A44" workbookViewId="0">
      <selection activeCell="G64" sqref="G64"/>
    </sheetView>
  </sheetViews>
  <sheetFormatPr defaultRowHeight="15" x14ac:dyDescent="0.25"/>
  <cols>
    <col min="1" max="1" width="2.85546875" customWidth="1"/>
    <col min="2" max="2" width="32.85546875" customWidth="1"/>
    <col min="3" max="5" width="2.85546875" customWidth="1"/>
    <col min="6" max="6" width="3" customWidth="1"/>
    <col min="7" max="7" width="2.85546875" customWidth="1"/>
    <col min="8" max="8" width="7.140625" customWidth="1"/>
  </cols>
  <sheetData>
    <row r="1" spans="1:8" ht="29.25" x14ac:dyDescent="0.25">
      <c r="A1" s="3">
        <v>42787</v>
      </c>
      <c r="B1" s="42" t="s">
        <v>33</v>
      </c>
      <c r="C1" s="43"/>
      <c r="D1" s="43"/>
      <c r="E1" s="43"/>
      <c r="F1" s="43"/>
      <c r="G1" s="43"/>
      <c r="H1" s="44"/>
    </row>
    <row r="2" spans="1:8" x14ac:dyDescent="0.25">
      <c r="A2" s="4" t="s">
        <v>8</v>
      </c>
      <c r="B2" s="4" t="s">
        <v>0</v>
      </c>
      <c r="C2" s="45" t="s">
        <v>9</v>
      </c>
      <c r="D2" s="45"/>
      <c r="E2" s="45"/>
      <c r="F2" s="45"/>
      <c r="G2" s="45"/>
      <c r="H2" s="2" t="s">
        <v>6</v>
      </c>
    </row>
    <row r="3" spans="1:8" x14ac:dyDescent="0.25">
      <c r="A3" s="25" t="s">
        <v>10</v>
      </c>
      <c r="B3" s="27"/>
      <c r="C3" s="15" t="s">
        <v>1</v>
      </c>
      <c r="D3" s="15" t="s">
        <v>2</v>
      </c>
      <c r="E3" s="15" t="s">
        <v>3</v>
      </c>
      <c r="F3" s="15" t="s">
        <v>4</v>
      </c>
      <c r="G3" s="15" t="s">
        <v>5</v>
      </c>
      <c r="H3" s="29">
        <f ca="1">SomarCoresPlan5(G$64,C4:G4)</f>
        <v>8</v>
      </c>
    </row>
    <row r="4" spans="1:8" x14ac:dyDescent="0.25">
      <c r="A4" s="26"/>
      <c r="B4" s="28"/>
      <c r="C4" s="22"/>
      <c r="D4" s="22"/>
      <c r="E4" s="22"/>
      <c r="F4" s="22"/>
      <c r="G4" s="22"/>
      <c r="H4" s="30"/>
    </row>
    <row r="5" spans="1:8" x14ac:dyDescent="0.25">
      <c r="A5" s="16" t="s">
        <v>32</v>
      </c>
      <c r="B5" s="13"/>
      <c r="C5" s="13"/>
      <c r="D5" s="13"/>
      <c r="E5" s="13"/>
      <c r="F5" s="13"/>
      <c r="G5" s="13"/>
      <c r="H5" s="14"/>
    </row>
    <row r="6" spans="1:8" x14ac:dyDescent="0.25">
      <c r="A6" s="25" t="s">
        <v>11</v>
      </c>
      <c r="B6" s="27"/>
      <c r="C6" s="15" t="s">
        <v>1</v>
      </c>
      <c r="D6" s="15" t="s">
        <v>2</v>
      </c>
      <c r="E6" s="15" t="s">
        <v>3</v>
      </c>
      <c r="F6" s="15" t="s">
        <v>4</v>
      </c>
      <c r="G6" s="15" t="s">
        <v>5</v>
      </c>
      <c r="H6" s="29">
        <f t="shared" ref="H6" ca="1" si="0">SomarCoresPlan5(G$64,C7:G7)</f>
        <v>8</v>
      </c>
    </row>
    <row r="7" spans="1:8" x14ac:dyDescent="0.25">
      <c r="A7" s="26"/>
      <c r="B7" s="28"/>
      <c r="C7" s="22"/>
      <c r="D7" s="22"/>
      <c r="E7" s="22"/>
      <c r="F7" s="22"/>
      <c r="G7" s="22"/>
      <c r="H7" s="30"/>
    </row>
    <row r="8" spans="1:8" x14ac:dyDescent="0.25">
      <c r="A8" s="16" t="s">
        <v>32</v>
      </c>
      <c r="B8" s="13"/>
      <c r="C8" s="13"/>
      <c r="D8" s="13"/>
      <c r="E8" s="13"/>
      <c r="F8" s="13"/>
      <c r="G8" s="13"/>
      <c r="H8" s="14"/>
    </row>
    <row r="9" spans="1:8" x14ac:dyDescent="0.25">
      <c r="A9" s="25" t="s">
        <v>13</v>
      </c>
      <c r="B9" s="27"/>
      <c r="C9" s="15" t="s">
        <v>1</v>
      </c>
      <c r="D9" s="15" t="s">
        <v>2</v>
      </c>
      <c r="E9" s="15" t="s">
        <v>3</v>
      </c>
      <c r="F9" s="15" t="s">
        <v>4</v>
      </c>
      <c r="G9" s="15" t="s">
        <v>5</v>
      </c>
      <c r="H9" s="29">
        <f t="shared" ref="H9" ca="1" si="1">SomarCoresPlan5(G$64,C10:G10)</f>
        <v>8</v>
      </c>
    </row>
    <row r="10" spans="1:8" x14ac:dyDescent="0.25">
      <c r="A10" s="26"/>
      <c r="B10" s="28"/>
      <c r="C10" s="22"/>
      <c r="D10" s="22"/>
      <c r="E10" s="22"/>
      <c r="F10" s="22"/>
      <c r="G10" s="22"/>
      <c r="H10" s="30"/>
    </row>
    <row r="11" spans="1:8" x14ac:dyDescent="0.25">
      <c r="A11" s="16" t="s">
        <v>32</v>
      </c>
      <c r="B11" s="13"/>
      <c r="C11" s="13"/>
      <c r="D11" s="13"/>
      <c r="E11" s="13"/>
      <c r="F11" s="13"/>
      <c r="G11" s="13"/>
      <c r="H11" s="14"/>
    </row>
    <row r="12" spans="1:8" x14ac:dyDescent="0.25">
      <c r="A12" s="25" t="s">
        <v>14</v>
      </c>
      <c r="B12" s="27"/>
      <c r="C12" s="15" t="s">
        <v>1</v>
      </c>
      <c r="D12" s="15" t="s">
        <v>2</v>
      </c>
      <c r="E12" s="15" t="s">
        <v>3</v>
      </c>
      <c r="F12" s="15" t="s">
        <v>4</v>
      </c>
      <c r="G12" s="15" t="s">
        <v>5</v>
      </c>
      <c r="H12" s="29">
        <f t="shared" ref="H12" ca="1" si="2">SomarCoresPlan5(G$64,C13:G13)</f>
        <v>8</v>
      </c>
    </row>
    <row r="13" spans="1:8" x14ac:dyDescent="0.25">
      <c r="A13" s="26"/>
      <c r="B13" s="28"/>
      <c r="C13" s="22"/>
      <c r="D13" s="22"/>
      <c r="E13" s="22"/>
      <c r="F13" s="22"/>
      <c r="G13" s="22"/>
      <c r="H13" s="30"/>
    </row>
    <row r="14" spans="1:8" x14ac:dyDescent="0.25">
      <c r="A14" s="16" t="s">
        <v>32</v>
      </c>
      <c r="B14" s="13"/>
      <c r="C14" s="13"/>
      <c r="D14" s="13"/>
      <c r="E14" s="13"/>
      <c r="F14" s="13"/>
      <c r="G14" s="13"/>
      <c r="H14" s="14"/>
    </row>
    <row r="15" spans="1:8" x14ac:dyDescent="0.25">
      <c r="A15" s="25" t="s">
        <v>15</v>
      </c>
      <c r="B15" s="27"/>
      <c r="C15" s="15" t="s">
        <v>1</v>
      </c>
      <c r="D15" s="15" t="s">
        <v>2</v>
      </c>
      <c r="E15" s="15" t="s">
        <v>3</v>
      </c>
      <c r="F15" s="15" t="s">
        <v>4</v>
      </c>
      <c r="G15" s="15" t="s">
        <v>5</v>
      </c>
      <c r="H15" s="29">
        <f t="shared" ref="H15" ca="1" si="3">SomarCoresPlan5(G$64,C16:G16)</f>
        <v>8</v>
      </c>
    </row>
    <row r="16" spans="1:8" x14ac:dyDescent="0.25">
      <c r="A16" s="26"/>
      <c r="B16" s="28"/>
      <c r="C16" s="22"/>
      <c r="D16" s="22"/>
      <c r="E16" s="22"/>
      <c r="F16" s="22"/>
      <c r="G16" s="22"/>
      <c r="H16" s="30"/>
    </row>
    <row r="17" spans="1:8" x14ac:dyDescent="0.25">
      <c r="A17" s="16" t="s">
        <v>32</v>
      </c>
      <c r="B17" s="13"/>
      <c r="C17" s="13"/>
      <c r="D17" s="13"/>
      <c r="E17" s="13"/>
      <c r="F17" s="13"/>
      <c r="G17" s="13"/>
      <c r="H17" s="14"/>
    </row>
    <row r="18" spans="1:8" x14ac:dyDescent="0.25">
      <c r="A18" s="25" t="s">
        <v>16</v>
      </c>
      <c r="B18" s="27"/>
      <c r="C18" s="15" t="s">
        <v>1</v>
      </c>
      <c r="D18" s="15" t="s">
        <v>2</v>
      </c>
      <c r="E18" s="15" t="s">
        <v>3</v>
      </c>
      <c r="F18" s="15" t="s">
        <v>4</v>
      </c>
      <c r="G18" s="15" t="s">
        <v>5</v>
      </c>
      <c r="H18" s="29">
        <f t="shared" ref="H18" ca="1" si="4">SomarCoresPlan5(G$64,C19:G19)</f>
        <v>8</v>
      </c>
    </row>
    <row r="19" spans="1:8" x14ac:dyDescent="0.25">
      <c r="A19" s="26"/>
      <c r="B19" s="28"/>
      <c r="C19" s="22"/>
      <c r="D19" s="22"/>
      <c r="E19" s="22"/>
      <c r="F19" s="22"/>
      <c r="G19" s="22"/>
      <c r="H19" s="30"/>
    </row>
    <row r="20" spans="1:8" x14ac:dyDescent="0.25">
      <c r="A20" s="16" t="s">
        <v>32</v>
      </c>
      <c r="B20" s="13"/>
      <c r="C20" s="13"/>
      <c r="D20" s="13"/>
      <c r="E20" s="13"/>
      <c r="F20" s="13"/>
      <c r="G20" s="13"/>
      <c r="H20" s="14"/>
    </row>
    <row r="21" spans="1:8" x14ac:dyDescent="0.25">
      <c r="A21" s="25" t="s">
        <v>18</v>
      </c>
      <c r="B21" s="27"/>
      <c r="C21" s="15" t="s">
        <v>1</v>
      </c>
      <c r="D21" s="15" t="s">
        <v>2</v>
      </c>
      <c r="E21" s="15" t="s">
        <v>3</v>
      </c>
      <c r="F21" s="15" t="s">
        <v>4</v>
      </c>
      <c r="G21" s="15" t="s">
        <v>5</v>
      </c>
      <c r="H21" s="29">
        <f t="shared" ref="H21" ca="1" si="5">SomarCoresPlan5(G$64,C22:G22)</f>
        <v>8</v>
      </c>
    </row>
    <row r="22" spans="1:8" x14ac:dyDescent="0.25">
      <c r="A22" s="26"/>
      <c r="B22" s="28"/>
      <c r="C22" s="22"/>
      <c r="D22" s="22"/>
      <c r="E22" s="22"/>
      <c r="F22" s="22"/>
      <c r="G22" s="22"/>
      <c r="H22" s="30"/>
    </row>
    <row r="23" spans="1:8" x14ac:dyDescent="0.25">
      <c r="A23" s="16" t="s">
        <v>32</v>
      </c>
      <c r="B23" s="13"/>
      <c r="C23" s="13"/>
      <c r="D23" s="13"/>
      <c r="E23" s="13"/>
      <c r="F23" s="13"/>
      <c r="G23" s="13"/>
      <c r="H23" s="14"/>
    </row>
    <row r="24" spans="1:8" x14ac:dyDescent="0.25">
      <c r="A24" s="25" t="s">
        <v>19</v>
      </c>
      <c r="B24" s="27"/>
      <c r="C24" s="15" t="s">
        <v>1</v>
      </c>
      <c r="D24" s="15" t="s">
        <v>2</v>
      </c>
      <c r="E24" s="15" t="s">
        <v>3</v>
      </c>
      <c r="F24" s="15" t="s">
        <v>4</v>
      </c>
      <c r="G24" s="15" t="s">
        <v>5</v>
      </c>
      <c r="H24" s="29">
        <f t="shared" ref="H24" ca="1" si="6">SomarCoresPlan5(G$64,C25:G25)</f>
        <v>8</v>
      </c>
    </row>
    <row r="25" spans="1:8" x14ac:dyDescent="0.25">
      <c r="A25" s="26"/>
      <c r="B25" s="28"/>
      <c r="C25" s="22"/>
      <c r="D25" s="22"/>
      <c r="E25" s="22"/>
      <c r="F25" s="22"/>
      <c r="G25" s="22"/>
      <c r="H25" s="30"/>
    </row>
    <row r="26" spans="1:8" x14ac:dyDescent="0.25">
      <c r="A26" s="16" t="s">
        <v>32</v>
      </c>
      <c r="B26" s="13"/>
      <c r="C26" s="13"/>
      <c r="D26" s="13"/>
      <c r="E26" s="13"/>
      <c r="F26" s="13"/>
      <c r="G26" s="13"/>
      <c r="H26" s="14"/>
    </row>
    <row r="27" spans="1:8" x14ac:dyDescent="0.25">
      <c r="A27" s="25" t="s">
        <v>20</v>
      </c>
      <c r="B27" s="27"/>
      <c r="C27" s="15" t="s">
        <v>1</v>
      </c>
      <c r="D27" s="15" t="s">
        <v>2</v>
      </c>
      <c r="E27" s="15" t="s">
        <v>3</v>
      </c>
      <c r="F27" s="15" t="s">
        <v>4</v>
      </c>
      <c r="G27" s="15" t="s">
        <v>5</v>
      </c>
      <c r="H27" s="29">
        <f t="shared" ref="H27" ca="1" si="7">SomarCoresPlan5(G$64,C28:G28)</f>
        <v>8</v>
      </c>
    </row>
    <row r="28" spans="1:8" x14ac:dyDescent="0.25">
      <c r="A28" s="26"/>
      <c r="B28" s="28"/>
      <c r="C28" s="22"/>
      <c r="D28" s="22"/>
      <c r="E28" s="22"/>
      <c r="F28" s="22"/>
      <c r="G28" s="22"/>
      <c r="H28" s="30"/>
    </row>
    <row r="29" spans="1:8" x14ac:dyDescent="0.25">
      <c r="A29" s="16" t="s">
        <v>32</v>
      </c>
      <c r="B29" s="13"/>
      <c r="C29" s="13"/>
      <c r="D29" s="13"/>
      <c r="E29" s="13"/>
      <c r="F29" s="13"/>
      <c r="G29" s="13"/>
      <c r="H29" s="14"/>
    </row>
    <row r="30" spans="1:8" x14ac:dyDescent="0.25">
      <c r="A30" s="25" t="s">
        <v>21</v>
      </c>
      <c r="B30" s="27"/>
      <c r="C30" s="15" t="s">
        <v>1</v>
      </c>
      <c r="D30" s="15" t="s">
        <v>2</v>
      </c>
      <c r="E30" s="15" t="s">
        <v>3</v>
      </c>
      <c r="F30" s="15" t="s">
        <v>4</v>
      </c>
      <c r="G30" s="15" t="s">
        <v>5</v>
      </c>
      <c r="H30" s="29">
        <f t="shared" ref="H30" ca="1" si="8">SomarCoresPlan5(G$64,C31:G31)</f>
        <v>8</v>
      </c>
    </row>
    <row r="31" spans="1:8" x14ac:dyDescent="0.25">
      <c r="A31" s="26"/>
      <c r="B31" s="28"/>
      <c r="C31" s="22"/>
      <c r="D31" s="22"/>
      <c r="E31" s="22"/>
      <c r="F31" s="22"/>
      <c r="G31" s="22"/>
      <c r="H31" s="30"/>
    </row>
    <row r="32" spans="1:8" x14ac:dyDescent="0.25">
      <c r="A32" s="16" t="s">
        <v>32</v>
      </c>
      <c r="B32" s="13"/>
      <c r="C32" s="13"/>
      <c r="D32" s="13"/>
      <c r="E32" s="13"/>
      <c r="F32" s="13"/>
      <c r="G32" s="13"/>
      <c r="H32" s="14"/>
    </row>
    <row r="33" spans="1:8" x14ac:dyDescent="0.25">
      <c r="A33" s="25" t="s">
        <v>22</v>
      </c>
      <c r="B33" s="27"/>
      <c r="C33" s="15" t="s">
        <v>1</v>
      </c>
      <c r="D33" s="15" t="s">
        <v>2</v>
      </c>
      <c r="E33" s="15" t="s">
        <v>3</v>
      </c>
      <c r="F33" s="15" t="s">
        <v>4</v>
      </c>
      <c r="G33" s="15" t="s">
        <v>5</v>
      </c>
      <c r="H33" s="29">
        <f t="shared" ref="H33" ca="1" si="9">SomarCoresPlan5(G$64,C34:G34)</f>
        <v>8</v>
      </c>
    </row>
    <row r="34" spans="1:8" x14ac:dyDescent="0.25">
      <c r="A34" s="26"/>
      <c r="B34" s="28"/>
      <c r="C34" s="22"/>
      <c r="D34" s="22"/>
      <c r="E34" s="22"/>
      <c r="F34" s="22"/>
      <c r="G34" s="22"/>
      <c r="H34" s="30"/>
    </row>
    <row r="35" spans="1:8" x14ac:dyDescent="0.25">
      <c r="A35" s="16" t="s">
        <v>32</v>
      </c>
      <c r="B35" s="13"/>
      <c r="C35" s="13"/>
      <c r="D35" s="13"/>
      <c r="E35" s="13"/>
      <c r="F35" s="13"/>
      <c r="G35" s="13"/>
      <c r="H35" s="14"/>
    </row>
    <row r="36" spans="1:8" x14ac:dyDescent="0.25">
      <c r="A36" s="25" t="s">
        <v>23</v>
      </c>
      <c r="B36" s="27"/>
      <c r="C36" s="15" t="s">
        <v>1</v>
      </c>
      <c r="D36" s="15" t="s">
        <v>2</v>
      </c>
      <c r="E36" s="15" t="s">
        <v>3</v>
      </c>
      <c r="F36" s="15" t="s">
        <v>4</v>
      </c>
      <c r="G36" s="15" t="s">
        <v>5</v>
      </c>
      <c r="H36" s="29">
        <f t="shared" ref="H36" ca="1" si="10">SomarCoresPlan5(G$64,C37:G37)</f>
        <v>8</v>
      </c>
    </row>
    <row r="37" spans="1:8" x14ac:dyDescent="0.25">
      <c r="A37" s="26"/>
      <c r="B37" s="28"/>
      <c r="C37" s="22"/>
      <c r="D37" s="22"/>
      <c r="E37" s="22"/>
      <c r="F37" s="22"/>
      <c r="G37" s="22"/>
      <c r="H37" s="30"/>
    </row>
    <row r="38" spans="1:8" x14ac:dyDescent="0.25">
      <c r="A38" s="16" t="s">
        <v>32</v>
      </c>
      <c r="B38" s="13"/>
      <c r="C38" s="13"/>
      <c r="D38" s="13"/>
      <c r="E38" s="13"/>
      <c r="F38" s="13"/>
      <c r="G38" s="13"/>
      <c r="H38" s="14"/>
    </row>
    <row r="39" spans="1:8" x14ac:dyDescent="0.25">
      <c r="A39" s="25" t="s">
        <v>24</v>
      </c>
      <c r="B39" s="27"/>
      <c r="C39" s="15" t="s">
        <v>1</v>
      </c>
      <c r="D39" s="15" t="s">
        <v>2</v>
      </c>
      <c r="E39" s="15" t="s">
        <v>3</v>
      </c>
      <c r="F39" s="15" t="s">
        <v>4</v>
      </c>
      <c r="G39" s="15" t="s">
        <v>5</v>
      </c>
      <c r="H39" s="29">
        <f t="shared" ref="H39" ca="1" si="11">SomarCoresPlan5(G$64,C40:G40)</f>
        <v>8</v>
      </c>
    </row>
    <row r="40" spans="1:8" x14ac:dyDescent="0.25">
      <c r="A40" s="26"/>
      <c r="B40" s="28"/>
      <c r="C40" s="22"/>
      <c r="D40" s="22"/>
      <c r="E40" s="22"/>
      <c r="F40" s="22"/>
      <c r="G40" s="22"/>
      <c r="H40" s="30"/>
    </row>
    <row r="41" spans="1:8" x14ac:dyDescent="0.25">
      <c r="A41" s="16" t="s">
        <v>32</v>
      </c>
      <c r="B41" s="13"/>
      <c r="C41" s="13"/>
      <c r="D41" s="13"/>
      <c r="E41" s="13"/>
      <c r="F41" s="13"/>
      <c r="G41" s="13"/>
      <c r="H41" s="14"/>
    </row>
    <row r="42" spans="1:8" x14ac:dyDescent="0.25">
      <c r="A42" s="25" t="s">
        <v>25</v>
      </c>
      <c r="B42" s="27"/>
      <c r="C42" s="15" t="s">
        <v>1</v>
      </c>
      <c r="D42" s="15" t="s">
        <v>2</v>
      </c>
      <c r="E42" s="15" t="s">
        <v>3</v>
      </c>
      <c r="F42" s="15" t="s">
        <v>4</v>
      </c>
      <c r="G42" s="15" t="s">
        <v>5</v>
      </c>
      <c r="H42" s="29">
        <f t="shared" ref="H42" ca="1" si="12">SomarCoresPlan5(G$64,C43:G43)</f>
        <v>8</v>
      </c>
    </row>
    <row r="43" spans="1:8" x14ac:dyDescent="0.25">
      <c r="A43" s="26"/>
      <c r="B43" s="28"/>
      <c r="C43" s="22"/>
      <c r="D43" s="22"/>
      <c r="E43" s="22"/>
      <c r="F43" s="22"/>
      <c r="G43" s="22"/>
      <c r="H43" s="30"/>
    </row>
    <row r="44" spans="1:8" x14ac:dyDescent="0.25">
      <c r="A44" s="16" t="s">
        <v>32</v>
      </c>
      <c r="B44" s="13"/>
      <c r="C44" s="13"/>
      <c r="D44" s="13"/>
      <c r="E44" s="13"/>
      <c r="F44" s="13"/>
      <c r="G44" s="13"/>
      <c r="H44" s="14"/>
    </row>
    <row r="45" spans="1:8" x14ac:dyDescent="0.25">
      <c r="A45" s="25" t="s">
        <v>26</v>
      </c>
      <c r="B45" s="27"/>
      <c r="C45" s="15" t="s">
        <v>1</v>
      </c>
      <c r="D45" s="15" t="s">
        <v>2</v>
      </c>
      <c r="E45" s="15" t="s">
        <v>3</v>
      </c>
      <c r="F45" s="15" t="s">
        <v>4</v>
      </c>
      <c r="G45" s="15" t="s">
        <v>5</v>
      </c>
      <c r="H45" s="29">
        <f t="shared" ref="H45" ca="1" si="13">SomarCoresPlan5(G$64,C46:G46)</f>
        <v>8</v>
      </c>
    </row>
    <row r="46" spans="1:8" x14ac:dyDescent="0.25">
      <c r="A46" s="26"/>
      <c r="B46" s="28"/>
      <c r="C46" s="22"/>
      <c r="D46" s="22"/>
      <c r="E46" s="22"/>
      <c r="F46" s="22"/>
      <c r="G46" s="22"/>
      <c r="H46" s="30"/>
    </row>
    <row r="47" spans="1:8" x14ac:dyDescent="0.25">
      <c r="A47" s="16" t="s">
        <v>32</v>
      </c>
      <c r="B47" s="13"/>
      <c r="C47" s="13"/>
      <c r="D47" s="13"/>
      <c r="E47" s="13"/>
      <c r="F47" s="13"/>
      <c r="G47" s="13"/>
      <c r="H47" s="14"/>
    </row>
    <row r="48" spans="1:8" x14ac:dyDescent="0.25">
      <c r="A48" s="25" t="s">
        <v>27</v>
      </c>
      <c r="B48" s="27"/>
      <c r="C48" s="15" t="s">
        <v>1</v>
      </c>
      <c r="D48" s="15" t="s">
        <v>2</v>
      </c>
      <c r="E48" s="15" t="s">
        <v>3</v>
      </c>
      <c r="F48" s="15" t="s">
        <v>4</v>
      </c>
      <c r="G48" s="15" t="s">
        <v>5</v>
      </c>
      <c r="H48" s="29">
        <f t="shared" ref="H48" ca="1" si="14">SomarCoresPlan5(G$64,C49:G49)</f>
        <v>8</v>
      </c>
    </row>
    <row r="49" spans="1:8" x14ac:dyDescent="0.25">
      <c r="A49" s="26"/>
      <c r="B49" s="28"/>
      <c r="C49" s="22"/>
      <c r="D49" s="22"/>
      <c r="E49" s="22"/>
      <c r="F49" s="22"/>
      <c r="G49" s="22"/>
      <c r="H49" s="30"/>
    </row>
    <row r="50" spans="1:8" x14ac:dyDescent="0.25">
      <c r="A50" s="16" t="s">
        <v>32</v>
      </c>
      <c r="B50" s="13"/>
      <c r="C50" s="13"/>
      <c r="D50" s="13"/>
      <c r="E50" s="13"/>
      <c r="F50" s="13"/>
      <c r="G50" s="13"/>
      <c r="H50" s="14"/>
    </row>
    <row r="51" spans="1:8" x14ac:dyDescent="0.25">
      <c r="A51" s="25" t="s">
        <v>28</v>
      </c>
      <c r="B51" s="27"/>
      <c r="C51" s="15" t="s">
        <v>1</v>
      </c>
      <c r="D51" s="15" t="s">
        <v>2</v>
      </c>
      <c r="E51" s="15" t="s">
        <v>3</v>
      </c>
      <c r="F51" s="15" t="s">
        <v>4</v>
      </c>
      <c r="G51" s="15" t="s">
        <v>5</v>
      </c>
      <c r="H51" s="29">
        <f t="shared" ref="H51" ca="1" si="15">SomarCoresPlan5(G$64,C52:G52)</f>
        <v>8</v>
      </c>
    </row>
    <row r="52" spans="1:8" x14ac:dyDescent="0.25">
      <c r="A52" s="26"/>
      <c r="B52" s="28"/>
      <c r="C52" s="22"/>
      <c r="D52" s="22"/>
      <c r="E52" s="22"/>
      <c r="F52" s="22"/>
      <c r="G52" s="22"/>
      <c r="H52" s="30"/>
    </row>
    <row r="53" spans="1:8" x14ac:dyDescent="0.25">
      <c r="A53" s="16" t="s">
        <v>32</v>
      </c>
      <c r="B53" s="13"/>
      <c r="C53" s="13"/>
      <c r="D53" s="13"/>
      <c r="E53" s="13"/>
      <c r="F53" s="13"/>
      <c r="G53" s="13"/>
      <c r="H53" s="14"/>
    </row>
    <row r="54" spans="1:8" x14ac:dyDescent="0.25">
      <c r="A54" s="25" t="s">
        <v>29</v>
      </c>
      <c r="B54" s="27"/>
      <c r="C54" s="15" t="s">
        <v>1</v>
      </c>
      <c r="D54" s="15" t="s">
        <v>2</v>
      </c>
      <c r="E54" s="15" t="s">
        <v>3</v>
      </c>
      <c r="F54" s="15" t="s">
        <v>4</v>
      </c>
      <c r="G54" s="15" t="s">
        <v>5</v>
      </c>
      <c r="H54" s="29">
        <f t="shared" ref="H54" ca="1" si="16">SomarCoresPlan5(G$64,C55:G55)</f>
        <v>8</v>
      </c>
    </row>
    <row r="55" spans="1:8" x14ac:dyDescent="0.25">
      <c r="A55" s="26"/>
      <c r="B55" s="28"/>
      <c r="C55" s="22"/>
      <c r="D55" s="22"/>
      <c r="E55" s="22"/>
      <c r="F55" s="22"/>
      <c r="G55" s="22"/>
      <c r="H55" s="30"/>
    </row>
    <row r="56" spans="1:8" x14ac:dyDescent="0.25">
      <c r="A56" s="16" t="s">
        <v>32</v>
      </c>
      <c r="B56" s="13"/>
      <c r="C56" s="13"/>
      <c r="D56" s="13"/>
      <c r="E56" s="13"/>
      <c r="F56" s="13"/>
      <c r="G56" s="13"/>
      <c r="H56" s="14"/>
    </row>
    <row r="57" spans="1:8" x14ac:dyDescent="0.25">
      <c r="A57" s="25" t="s">
        <v>30</v>
      </c>
      <c r="B57" s="27"/>
      <c r="C57" s="15" t="s">
        <v>1</v>
      </c>
      <c r="D57" s="15" t="s">
        <v>2</v>
      </c>
      <c r="E57" s="15" t="s">
        <v>3</v>
      </c>
      <c r="F57" s="15" t="s">
        <v>4</v>
      </c>
      <c r="G57" s="15" t="s">
        <v>5</v>
      </c>
      <c r="H57" s="29">
        <f t="shared" ref="H57" ca="1" si="17">SomarCoresPlan5(G$64,C58:G58)</f>
        <v>8</v>
      </c>
    </row>
    <row r="58" spans="1:8" x14ac:dyDescent="0.25">
      <c r="A58" s="26"/>
      <c r="B58" s="28"/>
      <c r="C58" s="22"/>
      <c r="D58" s="22"/>
      <c r="E58" s="22"/>
      <c r="F58" s="22"/>
      <c r="G58" s="22"/>
      <c r="H58" s="30"/>
    </row>
    <row r="59" spans="1:8" x14ac:dyDescent="0.25">
      <c r="A59" s="16" t="s">
        <v>32</v>
      </c>
      <c r="B59" s="13"/>
      <c r="C59" s="13"/>
      <c r="D59" s="13"/>
      <c r="E59" s="13"/>
      <c r="F59" s="13"/>
      <c r="G59" s="13"/>
      <c r="H59" s="14"/>
    </row>
    <row r="60" spans="1:8" x14ac:dyDescent="0.25">
      <c r="A60" s="25" t="s">
        <v>31</v>
      </c>
      <c r="B60" s="27"/>
      <c r="C60" s="15" t="s">
        <v>1</v>
      </c>
      <c r="D60" s="15" t="s">
        <v>2</v>
      </c>
      <c r="E60" s="15" t="s">
        <v>3</v>
      </c>
      <c r="F60" s="15" t="s">
        <v>4</v>
      </c>
      <c r="G60" s="15" t="s">
        <v>5</v>
      </c>
      <c r="H60" s="29">
        <f t="shared" ref="H60" ca="1" si="18">SomarCoresPlan5(G$64,C61:G61)</f>
        <v>8</v>
      </c>
    </row>
    <row r="61" spans="1:8" x14ac:dyDescent="0.25">
      <c r="A61" s="26"/>
      <c r="B61" s="28"/>
      <c r="C61" s="22"/>
      <c r="D61" s="22"/>
      <c r="E61" s="22"/>
      <c r="F61" s="22"/>
      <c r="G61" s="22"/>
      <c r="H61" s="30"/>
    </row>
    <row r="62" spans="1:8" x14ac:dyDescent="0.25">
      <c r="A62" s="16" t="s">
        <v>32</v>
      </c>
      <c r="B62" s="13"/>
      <c r="C62" s="13"/>
      <c r="D62" s="13"/>
      <c r="E62" s="13"/>
      <c r="F62" s="13"/>
      <c r="G62" s="13"/>
      <c r="H62" s="14"/>
    </row>
    <row r="63" spans="1:8" ht="15" customHeight="1" x14ac:dyDescent="0.25">
      <c r="F63" s="34" t="s">
        <v>12</v>
      </c>
      <c r="G63" s="5"/>
      <c r="H63" s="10"/>
    </row>
    <row r="64" spans="1:8" x14ac:dyDescent="0.25">
      <c r="F64" s="35"/>
      <c r="G64" s="24"/>
      <c r="H64" s="1" t="s">
        <v>7</v>
      </c>
    </row>
    <row r="65" spans="6:8" x14ac:dyDescent="0.25">
      <c r="F65" s="35"/>
      <c r="G65" s="23"/>
      <c r="H65" s="1" t="s">
        <v>17</v>
      </c>
    </row>
    <row r="66" spans="6:8" x14ac:dyDescent="0.25">
      <c r="F66" s="36"/>
      <c r="G66" s="12"/>
      <c r="H66" s="11"/>
    </row>
  </sheetData>
  <sheetProtection algorithmName="SHA-512" hashValue="h5U8PV84QiVqZ7DpE76yS7XXv28sWwGzcMZFwLBZO389QlIGdwyHoljW3iO6/uj4f4W9VoN1uO/+6g5cYmM2+Q==" saltValue="fuNAYy9bRq1FjJyO+a0RWg==" spinCount="100000" sheet="1" objects="1" scenarios="1" selectLockedCells="1"/>
  <mergeCells count="63">
    <mergeCell ref="A6:A7"/>
    <mergeCell ref="B6:B7"/>
    <mergeCell ref="H6:H7"/>
    <mergeCell ref="B1:H1"/>
    <mergeCell ref="C2:G2"/>
    <mergeCell ref="A3:A4"/>
    <mergeCell ref="B3:B4"/>
    <mergeCell ref="H3:H4"/>
    <mergeCell ref="A9:A10"/>
    <mergeCell ref="B9:B10"/>
    <mergeCell ref="H9:H10"/>
    <mergeCell ref="A12:A13"/>
    <mergeCell ref="B12:B13"/>
    <mergeCell ref="H12:H13"/>
    <mergeCell ref="A15:A16"/>
    <mergeCell ref="B15:B16"/>
    <mergeCell ref="H15:H16"/>
    <mergeCell ref="A18:A19"/>
    <mergeCell ref="B18:B19"/>
    <mergeCell ref="H18:H19"/>
    <mergeCell ref="A21:A22"/>
    <mergeCell ref="B21:B22"/>
    <mergeCell ref="H21:H22"/>
    <mergeCell ref="A24:A25"/>
    <mergeCell ref="B24:B25"/>
    <mergeCell ref="H24:H25"/>
    <mergeCell ref="A27:A28"/>
    <mergeCell ref="B27:B28"/>
    <mergeCell ref="H27:H28"/>
    <mergeCell ref="A30:A31"/>
    <mergeCell ref="B30:B31"/>
    <mergeCell ref="H30:H31"/>
    <mergeCell ref="A33:A34"/>
    <mergeCell ref="B33:B34"/>
    <mergeCell ref="H33:H34"/>
    <mergeCell ref="A36:A37"/>
    <mergeCell ref="B36:B37"/>
    <mergeCell ref="H36:H37"/>
    <mergeCell ref="A39:A40"/>
    <mergeCell ref="B39:B40"/>
    <mergeCell ref="H39:H40"/>
    <mergeCell ref="A42:A43"/>
    <mergeCell ref="B42:B43"/>
    <mergeCell ref="H42:H43"/>
    <mergeCell ref="A45:A46"/>
    <mergeCell ref="B45:B46"/>
    <mergeCell ref="H45:H46"/>
    <mergeCell ref="A48:A49"/>
    <mergeCell ref="B48:B49"/>
    <mergeCell ref="H48:H49"/>
    <mergeCell ref="A51:A52"/>
    <mergeCell ref="B51:B52"/>
    <mergeCell ref="H51:H52"/>
    <mergeCell ref="A54:A55"/>
    <mergeCell ref="B54:B55"/>
    <mergeCell ref="H54:H55"/>
    <mergeCell ref="F63:F66"/>
    <mergeCell ref="A57:A58"/>
    <mergeCell ref="B57:B58"/>
    <mergeCell ref="H57:H58"/>
    <mergeCell ref="A60:A61"/>
    <mergeCell ref="B60:B61"/>
    <mergeCell ref="H60:H61"/>
  </mergeCells>
  <conditionalFormatting sqref="H3:H4 H6:H7 H9:H10 H12:H13 H15:H16 H18:H19 H21:H22 H24:H25 H27:H28 H30:H31 H33:H34 H36:H37 H39:H40 H42:H43 H45:H46 H48:H49 H51:H52 H54:H55 H57:H58 H60:H61">
    <cfRule type="cellIs" dxfId="1" priority="1" operator="lessThanOrEqual">
      <formula>6.9</formula>
    </cfRule>
    <cfRule type="cellIs" dxfId="0" priority="2" stopIfTrue="1" operator="greaterThan">
      <formula>6.9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Exercício_P1_ADS -&gt;Dia 17</vt:lpstr>
      <vt:lpstr>Exercício_P1_ADS -&gt;Dia 18</vt:lpstr>
      <vt:lpstr>Exercício_P1_ADS -&gt;Dia 19</vt:lpstr>
      <vt:lpstr>Exercício_P1_ADS -&gt;Dia 20</vt:lpstr>
      <vt:lpstr>Exercício_P1_ADS -&gt;Dia 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Nena</dc:creator>
  <cp:lastModifiedBy>romulo</cp:lastModifiedBy>
  <dcterms:created xsi:type="dcterms:W3CDTF">2016-07-30T14:01:19Z</dcterms:created>
  <dcterms:modified xsi:type="dcterms:W3CDTF">2017-01-26T18:55:24Z</dcterms:modified>
</cp:coreProperties>
</file>